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IGNATUR SHADES\signature-sap\"/>
    </mc:Choice>
  </mc:AlternateContent>
  <xr:revisionPtr revIDLastSave="0" documentId="13_ncr:1_{FCF5FD5E-C788-4DEE-B8BA-831E2EB61F52}" xr6:coauthVersionLast="47" xr6:coauthVersionMax="47" xr10:uidLastSave="{00000000-0000-0000-0000-000000000000}"/>
  <bookViews>
    <workbookView xWindow="31080" yWindow="1860" windowWidth="21060" windowHeight="12090" xr2:uid="{B43FC788-D461-40DB-8B17-0E180C47381F}"/>
  </bookViews>
  <sheets>
    <sheet name="Order Form" sheetId="1" r:id="rId1"/>
    <sheet name="Indetail CAL" sheetId="4" r:id="rId2"/>
    <sheet name="VLOOK Hooks" sheetId="6" r:id="rId3"/>
    <sheet name="Track WORKSHEET" sheetId="5" r:id="rId4"/>
  </sheets>
  <definedNames>
    <definedName name="_xlnm.Print_Area" localSheetId="3">'Track WORKSHEET'!$A$1:$K$38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D15" i="5" s="1"/>
  <c r="E16" i="1"/>
  <c r="E17" i="1"/>
  <c r="D23" i="5"/>
  <c r="D30" i="5"/>
  <c r="K30" i="4"/>
  <c r="K33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K31" i="4" s="1"/>
  <c r="I30" i="4"/>
  <c r="H30" i="4"/>
  <c r="I29" i="4"/>
  <c r="H29" i="4"/>
  <c r="I28" i="4"/>
  <c r="H28" i="4"/>
  <c r="I27" i="4"/>
  <c r="H27" i="4"/>
  <c r="I26" i="4"/>
  <c r="H26" i="4"/>
  <c r="I25" i="4"/>
  <c r="H25" i="4"/>
  <c r="B4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C15" i="4"/>
  <c r="C16" i="4"/>
  <c r="C17" i="4"/>
  <c r="C18" i="4"/>
  <c r="C19" i="4"/>
  <c r="D19" i="4" s="1"/>
  <c r="C20" i="4"/>
  <c r="D20" i="4" s="1"/>
  <c r="C21" i="4"/>
  <c r="H21" i="4" s="1"/>
  <c r="C22" i="4"/>
  <c r="D22" i="4" s="1"/>
  <c r="C23" i="4"/>
  <c r="D23" i="4" s="1"/>
  <c r="C24" i="4"/>
  <c r="C25" i="4"/>
  <c r="G25" i="4" s="1"/>
  <c r="K25" i="4" s="1"/>
  <c r="C26" i="4"/>
  <c r="G26" i="4" s="1"/>
  <c r="K26" i="4" s="1"/>
  <c r="C27" i="4"/>
  <c r="G27" i="4" s="1"/>
  <c r="K27" i="4" s="1"/>
  <c r="C28" i="4"/>
  <c r="C29" i="4"/>
  <c r="G29" i="4" s="1"/>
  <c r="J29" i="4" s="1"/>
  <c r="C30" i="4"/>
  <c r="C31" i="4"/>
  <c r="C32" i="4"/>
  <c r="C33" i="4"/>
  <c r="C34" i="4"/>
  <c r="C35" i="4"/>
  <c r="C36" i="4"/>
  <c r="C37" i="4"/>
  <c r="D37" i="4" s="1"/>
  <c r="C38" i="4"/>
  <c r="G38" i="4" s="1"/>
  <c r="K38" i="4" s="1"/>
  <c r="E20" i="4"/>
  <c r="E21" i="4"/>
  <c r="E22" i="4"/>
  <c r="E23" i="4"/>
  <c r="D24" i="4"/>
  <c r="E24" i="4"/>
  <c r="D25" i="4"/>
  <c r="E25" i="4"/>
  <c r="D26" i="4"/>
  <c r="E26" i="4"/>
  <c r="D27" i="4"/>
  <c r="E27" i="4"/>
  <c r="D28" i="4"/>
  <c r="E28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E37" i="4"/>
  <c r="D38" i="4"/>
  <c r="E38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G24" i="4"/>
  <c r="K24" i="4" s="1"/>
  <c r="G28" i="4"/>
  <c r="J28" i="4" s="1"/>
  <c r="G30" i="4"/>
  <c r="G31" i="4"/>
  <c r="G32" i="4"/>
  <c r="K32" i="4" s="1"/>
  <c r="G33" i="4"/>
  <c r="G34" i="4"/>
  <c r="G35" i="4"/>
  <c r="K35" i="4" s="1"/>
  <c r="G36" i="4"/>
  <c r="K36" i="4" s="1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11" i="5"/>
  <c r="D17" i="5"/>
  <c r="D25" i="5"/>
  <c r="D26" i="5"/>
  <c r="G23" i="4"/>
  <c r="K23" i="4" s="1"/>
  <c r="H23" i="4"/>
  <c r="H24" i="4"/>
  <c r="I23" i="4"/>
  <c r="I24" i="4"/>
  <c r="E19" i="4"/>
  <c r="F19" i="4"/>
  <c r="F20" i="4"/>
  <c r="G20" i="4"/>
  <c r="G21" i="4"/>
  <c r="H19" i="4"/>
  <c r="H20" i="4"/>
  <c r="H22" i="4"/>
  <c r="I19" i="4"/>
  <c r="I22" i="4"/>
  <c r="D22" i="5"/>
  <c r="D24" i="5"/>
  <c r="D27" i="5"/>
  <c r="D28" i="5"/>
  <c r="D29" i="5"/>
  <c r="D16" i="5"/>
  <c r="D18" i="5"/>
  <c r="D19" i="5"/>
  <c r="D20" i="5"/>
  <c r="D21" i="5"/>
  <c r="C17" i="5"/>
  <c r="C18" i="5"/>
  <c r="C16" i="5"/>
  <c r="C7" i="4"/>
  <c r="C8" i="4"/>
  <c r="C9" i="4"/>
  <c r="C10" i="4"/>
  <c r="C3" i="4"/>
  <c r="C4" i="4"/>
  <c r="C5" i="4"/>
  <c r="C6" i="4"/>
  <c r="C11" i="4"/>
  <c r="C12" i="4"/>
  <c r="C13" i="4"/>
  <c r="C14" i="4"/>
  <c r="J5" i="1"/>
  <c r="J4" i="1"/>
  <c r="E12" i="1"/>
  <c r="D12" i="5" s="1"/>
  <c r="E13" i="1"/>
  <c r="D13" i="5" s="1"/>
  <c r="D14" i="5"/>
  <c r="E11" i="1"/>
  <c r="D11" i="5" s="1"/>
  <c r="J2" i="1"/>
  <c r="D5" i="6"/>
  <c r="D4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E1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B3" i="4"/>
  <c r="G22" i="4" l="1"/>
  <c r="K22" i="4" s="1"/>
  <c r="G19" i="4"/>
  <c r="K19" i="4" s="1"/>
  <c r="D21" i="4"/>
  <c r="I21" i="4"/>
  <c r="J21" i="4" s="1"/>
  <c r="I20" i="4"/>
  <c r="K20" i="4"/>
  <c r="J34" i="4"/>
  <c r="J35" i="4"/>
  <c r="K29" i="4"/>
  <c r="K34" i="4"/>
  <c r="K28" i="4"/>
  <c r="K21" i="4"/>
  <c r="G37" i="4"/>
  <c r="K37" i="4" s="1"/>
  <c r="D29" i="4"/>
  <c r="J23" i="4"/>
  <c r="J25" i="4"/>
  <c r="J24" i="4"/>
  <c r="J31" i="4"/>
  <c r="J27" i="4"/>
  <c r="J33" i="4"/>
  <c r="J30" i="4"/>
  <c r="J26" i="4"/>
  <c r="J32" i="4"/>
  <c r="J20" i="4"/>
  <c r="J22" i="4"/>
  <c r="A11" i="1" a="1"/>
  <c r="A11" i="1" s="1"/>
  <c r="F3" i="4"/>
  <c r="C11" i="5"/>
  <c r="B11" i="5"/>
  <c r="J19" i="4" l="1"/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E17" i="5" l="1"/>
  <c r="C12" i="5" l="1"/>
  <c r="C13" i="5"/>
  <c r="C14" i="5"/>
  <c r="C15" i="5"/>
  <c r="C19" i="5"/>
  <c r="C20" i="5"/>
  <c r="C21" i="5"/>
  <c r="C22" i="5"/>
  <c r="C23" i="5"/>
  <c r="C24" i="5"/>
  <c r="C25" i="5"/>
  <c r="C26" i="5"/>
  <c r="C27" i="5"/>
  <c r="C28" i="5"/>
  <c r="C29" i="5"/>
  <c r="C30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H4" i="5"/>
  <c r="H3" i="5"/>
  <c r="D18" i="4" l="1"/>
  <c r="H18" i="4"/>
  <c r="G26" i="5" s="1"/>
  <c r="G27" i="5"/>
  <c r="G28" i="5"/>
  <c r="G29" i="5"/>
  <c r="G30" i="5"/>
  <c r="I18" i="4"/>
  <c r="H26" i="5" s="1"/>
  <c r="H27" i="5"/>
  <c r="H28" i="5"/>
  <c r="H29" i="5"/>
  <c r="H30" i="5"/>
  <c r="G17" i="4"/>
  <c r="J27" i="5"/>
  <c r="J28" i="5"/>
  <c r="J29" i="5"/>
  <c r="J30" i="5"/>
  <c r="G5" i="4"/>
  <c r="E3" i="4"/>
  <c r="F57" i="6"/>
  <c r="F58" i="6"/>
  <c r="F36" i="6"/>
  <c r="D35" i="6"/>
  <c r="F35" i="6"/>
  <c r="D36" i="6"/>
  <c r="D37" i="6"/>
  <c r="F37" i="6"/>
  <c r="D38" i="6"/>
  <c r="E38" i="6"/>
  <c r="F38" i="6" s="1"/>
  <c r="D39" i="6"/>
  <c r="E39" i="6"/>
  <c r="F39" i="6" s="1"/>
  <c r="D40" i="6"/>
  <c r="E40" i="6"/>
  <c r="F40" i="6" s="1"/>
  <c r="D41" i="6"/>
  <c r="F41" i="6"/>
  <c r="D42" i="6"/>
  <c r="E42" i="6"/>
  <c r="F42" i="6" s="1"/>
  <c r="D43" i="6"/>
  <c r="E43" i="6"/>
  <c r="F43" i="6" s="1"/>
  <c r="D44" i="6"/>
  <c r="E44" i="6"/>
  <c r="F44" i="6" s="1"/>
  <c r="D45" i="6"/>
  <c r="E45" i="6"/>
  <c r="F45" i="6" s="1"/>
  <c r="D46" i="6"/>
  <c r="F46" i="6"/>
  <c r="D47" i="6"/>
  <c r="F47" i="6"/>
  <c r="D48" i="6"/>
  <c r="F48" i="6"/>
  <c r="D49" i="6"/>
  <c r="E49" i="6"/>
  <c r="F49" i="6" s="1"/>
  <c r="D50" i="6"/>
  <c r="E50" i="6"/>
  <c r="F50" i="6" s="1"/>
  <c r="D51" i="6"/>
  <c r="E51" i="6"/>
  <c r="F51" i="6" s="1"/>
  <c r="D52" i="6"/>
  <c r="E52" i="6"/>
  <c r="F52" i="6" s="1"/>
  <c r="D53" i="6"/>
  <c r="E53" i="6"/>
  <c r="F53" i="6" s="1"/>
  <c r="D54" i="6"/>
  <c r="E54" i="6"/>
  <c r="F54" i="6" s="1"/>
  <c r="D55" i="6"/>
  <c r="E55" i="6"/>
  <c r="F55" i="6" s="1"/>
  <c r="D56" i="6"/>
  <c r="E56" i="6"/>
  <c r="F56" i="6" s="1"/>
  <c r="D57" i="6"/>
  <c r="D58" i="6"/>
  <c r="D59" i="6"/>
  <c r="E59" i="6"/>
  <c r="F59" i="6" s="1"/>
  <c r="D60" i="6"/>
  <c r="E60" i="6"/>
  <c r="F60" i="6" s="1"/>
  <c r="D61" i="6"/>
  <c r="E61" i="6"/>
  <c r="F61" i="6" s="1"/>
  <c r="D62" i="6"/>
  <c r="F62" i="6"/>
  <c r="D63" i="6"/>
  <c r="F63" i="6"/>
  <c r="D64" i="6"/>
  <c r="F64" i="6"/>
  <c r="D65" i="6"/>
  <c r="E65" i="6"/>
  <c r="F65" i="6" s="1"/>
  <c r="D66" i="6"/>
  <c r="E66" i="6"/>
  <c r="F66" i="6" s="1"/>
  <c r="D67" i="6"/>
  <c r="E67" i="6"/>
  <c r="F67" i="6" s="1"/>
  <c r="D68" i="6"/>
  <c r="F68" i="6"/>
  <c r="D69" i="6"/>
  <c r="F69" i="6"/>
  <c r="D70" i="6"/>
  <c r="E70" i="6"/>
  <c r="F70" i="6" s="1"/>
  <c r="D71" i="6"/>
  <c r="E71" i="6"/>
  <c r="F71" i="6" s="1"/>
  <c r="D72" i="6"/>
  <c r="E72" i="6"/>
  <c r="F72" i="6" s="1"/>
  <c r="D73" i="6"/>
  <c r="F73" i="6"/>
  <c r="D74" i="6"/>
  <c r="E74" i="6"/>
  <c r="F74" i="6" s="1"/>
  <c r="D75" i="6"/>
  <c r="E75" i="6"/>
  <c r="F75" i="6" s="1"/>
  <c r="D76" i="6"/>
  <c r="E76" i="6"/>
  <c r="F76" i="6" s="1"/>
  <c r="D77" i="6"/>
  <c r="E77" i="6"/>
  <c r="F77" i="6" s="1"/>
  <c r="D78" i="6"/>
  <c r="F78" i="6"/>
  <c r="D79" i="6"/>
  <c r="F79" i="6"/>
  <c r="D80" i="6"/>
  <c r="F80" i="6"/>
  <c r="D81" i="6"/>
  <c r="E81" i="6"/>
  <c r="F81" i="6" s="1"/>
  <c r="D82" i="6"/>
  <c r="E82" i="6"/>
  <c r="F82" i="6" s="1"/>
  <c r="D83" i="6"/>
  <c r="E83" i="6"/>
  <c r="F83" i="6" s="1"/>
  <c r="D84" i="6"/>
  <c r="E84" i="6"/>
  <c r="F84" i="6" s="1"/>
  <c r="D85" i="6"/>
  <c r="E85" i="6"/>
  <c r="F85" i="6" s="1"/>
  <c r="D86" i="6"/>
  <c r="E86" i="6"/>
  <c r="F86" i="6" s="1"/>
  <c r="D87" i="6"/>
  <c r="E87" i="6"/>
  <c r="F87" i="6" s="1"/>
  <c r="D88" i="6"/>
  <c r="E88" i="6"/>
  <c r="F88" i="6" s="1"/>
  <c r="D89" i="6"/>
  <c r="F89" i="6"/>
  <c r="D90" i="6"/>
  <c r="F90" i="6"/>
  <c r="D91" i="6"/>
  <c r="F91" i="6"/>
  <c r="D92" i="6"/>
  <c r="E92" i="6"/>
  <c r="F92" i="6" s="1"/>
  <c r="D93" i="6"/>
  <c r="E93" i="6"/>
  <c r="F93" i="6" s="1"/>
  <c r="D94" i="6"/>
  <c r="E94" i="6"/>
  <c r="F94" i="6" s="1"/>
  <c r="D95" i="6"/>
  <c r="E95" i="6"/>
  <c r="F95" i="6" s="1"/>
  <c r="D96" i="6"/>
  <c r="E96" i="6"/>
  <c r="F96" i="6" s="1"/>
  <c r="D97" i="6"/>
  <c r="E97" i="6"/>
  <c r="F97" i="6" s="1"/>
  <c r="D98" i="6"/>
  <c r="E98" i="6"/>
  <c r="F98" i="6" s="1"/>
  <c r="D99" i="6"/>
  <c r="E99" i="6"/>
  <c r="F99" i="6" s="1"/>
  <c r="D100" i="6"/>
  <c r="F100" i="6"/>
  <c r="D101" i="6"/>
  <c r="F101" i="6"/>
  <c r="D102" i="6"/>
  <c r="F102" i="6"/>
  <c r="D103" i="6"/>
  <c r="E103" i="6"/>
  <c r="F103" i="6" s="1"/>
  <c r="D104" i="6"/>
  <c r="E104" i="6"/>
  <c r="F104" i="6" s="1"/>
  <c r="D105" i="6"/>
  <c r="E105" i="6"/>
  <c r="F105" i="6" s="1"/>
  <c r="D106" i="6"/>
  <c r="E106" i="6"/>
  <c r="F106" i="6" s="1"/>
  <c r="D107" i="6"/>
  <c r="E107" i="6"/>
  <c r="F107" i="6" s="1"/>
  <c r="D108" i="6"/>
  <c r="E108" i="6"/>
  <c r="F108" i="6" s="1"/>
  <c r="D109" i="6"/>
  <c r="E109" i="6"/>
  <c r="F109" i="6" s="1"/>
  <c r="D110" i="6"/>
  <c r="E110" i="6"/>
  <c r="F110" i="6" s="1"/>
  <c r="D111" i="6"/>
  <c r="F111" i="6"/>
  <c r="D112" i="6"/>
  <c r="F112" i="6"/>
  <c r="D113" i="6"/>
  <c r="E113" i="6"/>
  <c r="F113" i="6" s="1"/>
  <c r="D114" i="6"/>
  <c r="E114" i="6"/>
  <c r="F114" i="6" s="1"/>
  <c r="D115" i="6"/>
  <c r="E115" i="6"/>
  <c r="F115" i="6" s="1"/>
  <c r="D116" i="6"/>
  <c r="E116" i="6"/>
  <c r="F116" i="6" s="1"/>
  <c r="D117" i="6"/>
  <c r="E117" i="6"/>
  <c r="F117" i="6" s="1"/>
  <c r="D118" i="6"/>
  <c r="E118" i="6"/>
  <c r="F118" i="6" s="1"/>
  <c r="D119" i="6"/>
  <c r="E119" i="6"/>
  <c r="F119" i="6" s="1"/>
  <c r="D120" i="6"/>
  <c r="E120" i="6"/>
  <c r="F120" i="6" s="1"/>
  <c r="D121" i="6"/>
  <c r="E121" i="6"/>
  <c r="F121" i="6" s="1"/>
  <c r="D122" i="6"/>
  <c r="F122" i="6"/>
  <c r="D123" i="6"/>
  <c r="F123" i="6"/>
  <c r="D124" i="6"/>
  <c r="E124" i="6"/>
  <c r="F124" i="6" s="1"/>
  <c r="D125" i="6"/>
  <c r="E125" i="6"/>
  <c r="F125" i="6" s="1"/>
  <c r="D126" i="6"/>
  <c r="E126" i="6"/>
  <c r="F126" i="6" s="1"/>
  <c r="D127" i="6"/>
  <c r="E127" i="6"/>
  <c r="F127" i="6" s="1"/>
  <c r="D128" i="6"/>
  <c r="E128" i="6"/>
  <c r="F128" i="6" s="1"/>
  <c r="D129" i="6"/>
  <c r="E129" i="6"/>
  <c r="F129" i="6" s="1"/>
  <c r="D130" i="6"/>
  <c r="E130" i="6"/>
  <c r="F130" i="6" s="1"/>
  <c r="D131" i="6"/>
  <c r="E131" i="6"/>
  <c r="F131" i="6" s="1"/>
  <c r="D132" i="6"/>
  <c r="F132" i="6"/>
  <c r="D133" i="6"/>
  <c r="F133" i="6"/>
  <c r="D134" i="6"/>
  <c r="F134" i="6"/>
  <c r="D135" i="6"/>
  <c r="E135" i="6"/>
  <c r="F135" i="6" s="1"/>
  <c r="D136" i="6"/>
  <c r="E136" i="6"/>
  <c r="F136" i="6" s="1"/>
  <c r="D137" i="6"/>
  <c r="E137" i="6"/>
  <c r="F137" i="6" s="1"/>
  <c r="D138" i="6"/>
  <c r="E138" i="6"/>
  <c r="F138" i="6" s="1"/>
  <c r="D139" i="6"/>
  <c r="E139" i="6"/>
  <c r="F139" i="6" s="1"/>
  <c r="D140" i="6"/>
  <c r="E140" i="6"/>
  <c r="F140" i="6" s="1"/>
  <c r="D141" i="6"/>
  <c r="E141" i="6"/>
  <c r="F141" i="6" s="1"/>
  <c r="D142" i="6"/>
  <c r="E142" i="6"/>
  <c r="F142" i="6" s="1"/>
  <c r="D143" i="6"/>
  <c r="F143" i="6"/>
  <c r="D144" i="6"/>
  <c r="F144" i="6"/>
  <c r="D145" i="6"/>
  <c r="F145" i="6"/>
  <c r="D146" i="6"/>
  <c r="E146" i="6"/>
  <c r="F146" i="6" s="1"/>
  <c r="D147" i="6"/>
  <c r="E147" i="6"/>
  <c r="F147" i="6" s="1"/>
  <c r="D148" i="6"/>
  <c r="E148" i="6"/>
  <c r="F148" i="6" s="1"/>
  <c r="D149" i="6"/>
  <c r="E149" i="6"/>
  <c r="F149" i="6" s="1"/>
  <c r="D150" i="6"/>
  <c r="E150" i="6"/>
  <c r="F150" i="6" s="1"/>
  <c r="D151" i="6"/>
  <c r="E151" i="6"/>
  <c r="F151" i="6" s="1"/>
  <c r="D152" i="6"/>
  <c r="E152" i="6"/>
  <c r="F152" i="6" s="1"/>
  <c r="D153" i="6"/>
  <c r="E153" i="6"/>
  <c r="F153" i="6" s="1"/>
  <c r="D154" i="6"/>
  <c r="F154" i="6"/>
  <c r="D155" i="6"/>
  <c r="F155" i="6"/>
  <c r="D156" i="6"/>
  <c r="F156" i="6"/>
  <c r="D157" i="6"/>
  <c r="E157" i="6"/>
  <c r="F157" i="6" s="1"/>
  <c r="D158" i="6"/>
  <c r="E158" i="6"/>
  <c r="F158" i="6" s="1"/>
  <c r="D159" i="6"/>
  <c r="E159" i="6"/>
  <c r="F159" i="6" s="1"/>
  <c r="D160" i="6"/>
  <c r="E160" i="6"/>
  <c r="F160" i="6" s="1"/>
  <c r="D161" i="6"/>
  <c r="E161" i="6"/>
  <c r="F161" i="6" s="1"/>
  <c r="D162" i="6"/>
  <c r="E162" i="6"/>
  <c r="F162" i="6" s="1"/>
  <c r="D163" i="6"/>
  <c r="E163" i="6"/>
  <c r="F163" i="6" s="1"/>
  <c r="D164" i="6"/>
  <c r="E164" i="6"/>
  <c r="F164" i="6" s="1"/>
  <c r="D165" i="6"/>
  <c r="F165" i="6"/>
  <c r="D166" i="6"/>
  <c r="F166" i="6"/>
  <c r="D167" i="6"/>
  <c r="E167" i="6"/>
  <c r="F167" i="6" s="1"/>
  <c r="D168" i="6"/>
  <c r="E168" i="6"/>
  <c r="F168" i="6" s="1"/>
  <c r="D169" i="6"/>
  <c r="E169" i="6"/>
  <c r="F169" i="6" s="1"/>
  <c r="D170" i="6"/>
  <c r="E170" i="6"/>
  <c r="F170" i="6" s="1"/>
  <c r="D171" i="6"/>
  <c r="E171" i="6"/>
  <c r="F171" i="6" s="1"/>
  <c r="D172" i="6"/>
  <c r="E172" i="6"/>
  <c r="F172" i="6" s="1"/>
  <c r="D173" i="6"/>
  <c r="E173" i="6"/>
  <c r="F173" i="6" s="1"/>
  <c r="D174" i="6"/>
  <c r="E174" i="6"/>
  <c r="F174" i="6" s="1"/>
  <c r="D175" i="6"/>
  <c r="E175" i="6"/>
  <c r="F175" i="6" s="1"/>
  <c r="D176" i="6"/>
  <c r="F176" i="6"/>
  <c r="D177" i="6"/>
  <c r="F177" i="6"/>
  <c r="D178" i="6"/>
  <c r="E178" i="6"/>
  <c r="F178" i="6" s="1"/>
  <c r="D179" i="6"/>
  <c r="E179" i="6"/>
  <c r="F179" i="6" s="1"/>
  <c r="D180" i="6"/>
  <c r="E180" i="6"/>
  <c r="F180" i="6" s="1"/>
  <c r="D181" i="6"/>
  <c r="F181" i="6"/>
  <c r="D182" i="6"/>
  <c r="E182" i="6"/>
  <c r="F182" i="6" s="1"/>
  <c r="D183" i="6"/>
  <c r="E183" i="6"/>
  <c r="F183" i="6" s="1"/>
  <c r="D184" i="6"/>
  <c r="E184" i="6"/>
  <c r="F184" i="6" s="1"/>
  <c r="D185" i="6"/>
  <c r="E185" i="6"/>
  <c r="F185" i="6" s="1"/>
  <c r="D186" i="6"/>
  <c r="E186" i="6"/>
  <c r="F186" i="6" s="1"/>
  <c r="D187" i="6"/>
  <c r="F187" i="6"/>
  <c r="D188" i="6"/>
  <c r="F188" i="6"/>
  <c r="D189" i="6"/>
  <c r="E189" i="6"/>
  <c r="F189" i="6" s="1"/>
  <c r="D190" i="6"/>
  <c r="E190" i="6"/>
  <c r="F190" i="6" s="1"/>
  <c r="D191" i="6"/>
  <c r="E191" i="6"/>
  <c r="F191" i="6" s="1"/>
  <c r="D192" i="6"/>
  <c r="E192" i="6"/>
  <c r="F192" i="6" s="1"/>
  <c r="D193" i="6"/>
  <c r="E193" i="6"/>
  <c r="F193" i="6" s="1"/>
  <c r="D194" i="6"/>
  <c r="E194" i="6"/>
  <c r="F194" i="6" s="1"/>
  <c r="D195" i="6"/>
  <c r="E195" i="6"/>
  <c r="F195" i="6" s="1"/>
  <c r="D196" i="6"/>
  <c r="E196" i="6"/>
  <c r="F196" i="6" s="1"/>
  <c r="D197" i="6"/>
  <c r="F197" i="6"/>
  <c r="D198" i="6"/>
  <c r="F198" i="6"/>
  <c r="D199" i="6"/>
  <c r="F199" i="6"/>
  <c r="D200" i="6"/>
  <c r="E200" i="6"/>
  <c r="F200" i="6" s="1"/>
  <c r="D201" i="6"/>
  <c r="E201" i="6"/>
  <c r="F201" i="6" s="1"/>
  <c r="D202" i="6"/>
  <c r="E202" i="6"/>
  <c r="F202" i="6" s="1"/>
  <c r="D203" i="6"/>
  <c r="E203" i="6"/>
  <c r="F203" i="6" s="1"/>
  <c r="D204" i="6"/>
  <c r="E204" i="6"/>
  <c r="F204" i="6" s="1"/>
  <c r="D205" i="6"/>
  <c r="E205" i="6"/>
  <c r="F205" i="6" s="1"/>
  <c r="D206" i="6"/>
  <c r="E206" i="6"/>
  <c r="F206" i="6" s="1"/>
  <c r="D207" i="6"/>
  <c r="E207" i="6"/>
  <c r="F207" i="6" s="1"/>
  <c r="D208" i="6"/>
  <c r="F208" i="6"/>
  <c r="D209" i="6"/>
  <c r="F209" i="6"/>
  <c r="D210" i="6"/>
  <c r="F210" i="6"/>
  <c r="D211" i="6"/>
  <c r="E211" i="6"/>
  <c r="F211" i="6" s="1"/>
  <c r="D212" i="6"/>
  <c r="E212" i="6"/>
  <c r="F212" i="6" s="1"/>
  <c r="D213" i="6"/>
  <c r="E213" i="6"/>
  <c r="F213" i="6" s="1"/>
  <c r="D214" i="6"/>
  <c r="E214" i="6"/>
  <c r="F214" i="6" s="1"/>
  <c r="D215" i="6"/>
  <c r="E215" i="6"/>
  <c r="F215" i="6" s="1"/>
  <c r="D216" i="6"/>
  <c r="E216" i="6"/>
  <c r="F216" i="6" s="1"/>
  <c r="D217" i="6"/>
  <c r="E217" i="6"/>
  <c r="F217" i="6" s="1"/>
  <c r="D218" i="6"/>
  <c r="E218" i="6"/>
  <c r="F218" i="6" s="1"/>
  <c r="D219" i="6"/>
  <c r="F219" i="6"/>
  <c r="D220" i="6"/>
  <c r="F220" i="6"/>
  <c r="D221" i="6"/>
  <c r="E221" i="6"/>
  <c r="F221" i="6" s="1"/>
  <c r="D222" i="6"/>
  <c r="E222" i="6"/>
  <c r="F222" i="6" s="1"/>
  <c r="D223" i="6"/>
  <c r="E223" i="6"/>
  <c r="F223" i="6" s="1"/>
  <c r="D224" i="6"/>
  <c r="E224" i="6"/>
  <c r="F224" i="6" s="1"/>
  <c r="D225" i="6"/>
  <c r="E225" i="6"/>
  <c r="F225" i="6" s="1"/>
  <c r="D226" i="6"/>
  <c r="E226" i="6"/>
  <c r="F226" i="6" s="1"/>
  <c r="D227" i="6"/>
  <c r="E227" i="6"/>
  <c r="F227" i="6" s="1"/>
  <c r="D228" i="6"/>
  <c r="E228" i="6"/>
  <c r="F228" i="6" s="1"/>
  <c r="D229" i="6"/>
  <c r="E229" i="6"/>
  <c r="F229" i="6" s="1"/>
  <c r="D230" i="6"/>
  <c r="F230" i="6"/>
  <c r="D231" i="6"/>
  <c r="F231" i="6"/>
  <c r="D232" i="6"/>
  <c r="E232" i="6"/>
  <c r="F232" i="6" s="1"/>
  <c r="D233" i="6"/>
  <c r="E233" i="6"/>
  <c r="F233" i="6" s="1"/>
  <c r="D234" i="6"/>
  <c r="E234" i="6"/>
  <c r="F234" i="6" s="1"/>
  <c r="D235" i="6"/>
  <c r="F235" i="6"/>
  <c r="D236" i="6"/>
  <c r="E236" i="6"/>
  <c r="F236" i="6" s="1"/>
  <c r="D237" i="6"/>
  <c r="E237" i="6"/>
  <c r="F237" i="6" s="1"/>
  <c r="D238" i="6"/>
  <c r="E238" i="6"/>
  <c r="F238" i="6" s="1"/>
  <c r="D239" i="6"/>
  <c r="E239" i="6"/>
  <c r="F239" i="6" s="1"/>
  <c r="D240" i="6"/>
  <c r="F240" i="6"/>
  <c r="D241" i="6"/>
  <c r="F241" i="6"/>
  <c r="D242" i="6"/>
  <c r="F242" i="6"/>
  <c r="D243" i="6"/>
  <c r="E243" i="6"/>
  <c r="F243" i="6" s="1"/>
  <c r="D244" i="6"/>
  <c r="E244" i="6"/>
  <c r="F244" i="6" s="1"/>
  <c r="D245" i="6"/>
  <c r="E245" i="6"/>
  <c r="F245" i="6" s="1"/>
  <c r="D246" i="6"/>
  <c r="E246" i="6"/>
  <c r="F246" i="6" s="1"/>
  <c r="D247" i="6"/>
  <c r="E247" i="6"/>
  <c r="F247" i="6" s="1"/>
  <c r="D248" i="6"/>
  <c r="E248" i="6"/>
  <c r="F248" i="6" s="1"/>
  <c r="D249" i="6"/>
  <c r="E249" i="6"/>
  <c r="F249" i="6" s="1"/>
  <c r="D250" i="6"/>
  <c r="E250" i="6"/>
  <c r="F250" i="6" s="1"/>
  <c r="D251" i="6"/>
  <c r="F251" i="6"/>
  <c r="D252" i="6"/>
  <c r="F252" i="6"/>
  <c r="D253" i="6"/>
  <c r="F253" i="6"/>
  <c r="D254" i="6"/>
  <c r="E254" i="6"/>
  <c r="F254" i="6" s="1"/>
  <c r="D255" i="6"/>
  <c r="E255" i="6"/>
  <c r="F255" i="6" s="1"/>
  <c r="D256" i="6"/>
  <c r="E256" i="6"/>
  <c r="F256" i="6" s="1"/>
  <c r="D257" i="6"/>
  <c r="E257" i="6"/>
  <c r="F257" i="6" s="1"/>
  <c r="D258" i="6"/>
  <c r="E258" i="6"/>
  <c r="F258" i="6" s="1"/>
  <c r="D259" i="6"/>
  <c r="E259" i="6"/>
  <c r="F259" i="6" s="1"/>
  <c r="D260" i="6"/>
  <c r="E260" i="6"/>
  <c r="F260" i="6" s="1"/>
  <c r="D261" i="6"/>
  <c r="E261" i="6"/>
  <c r="F261" i="6" s="1"/>
  <c r="D262" i="6"/>
  <c r="F262" i="6"/>
  <c r="D263" i="6"/>
  <c r="F263" i="6"/>
  <c r="D264" i="6"/>
  <c r="F264" i="6"/>
  <c r="D265" i="6"/>
  <c r="E265" i="6"/>
  <c r="F265" i="6" s="1"/>
  <c r="D266" i="6"/>
  <c r="E266" i="6"/>
  <c r="F266" i="6" s="1"/>
  <c r="D267" i="6"/>
  <c r="E267" i="6"/>
  <c r="F267" i="6" s="1"/>
  <c r="D268" i="6"/>
  <c r="E268" i="6"/>
  <c r="F268" i="6" s="1"/>
  <c r="D269" i="6"/>
  <c r="E269" i="6"/>
  <c r="F269" i="6" s="1"/>
  <c r="D270" i="6"/>
  <c r="E270" i="6"/>
  <c r="F270" i="6" s="1"/>
  <c r="D271" i="6"/>
  <c r="E271" i="6"/>
  <c r="F271" i="6" s="1"/>
  <c r="D272" i="6"/>
  <c r="E272" i="6"/>
  <c r="F272" i="6" s="1"/>
  <c r="D273" i="6"/>
  <c r="F273" i="6"/>
  <c r="D274" i="6"/>
  <c r="F274" i="6"/>
  <c r="D275" i="6"/>
  <c r="E275" i="6"/>
  <c r="F275" i="6" s="1"/>
  <c r="D276" i="6"/>
  <c r="E276" i="6"/>
  <c r="F276" i="6" s="1"/>
  <c r="D277" i="6"/>
  <c r="E277" i="6"/>
  <c r="F277" i="6" s="1"/>
  <c r="D278" i="6"/>
  <c r="E278" i="6"/>
  <c r="F278" i="6" s="1"/>
  <c r="D279" i="6"/>
  <c r="E279" i="6"/>
  <c r="F279" i="6" s="1"/>
  <c r="D280" i="6"/>
  <c r="E280" i="6"/>
  <c r="F280" i="6" s="1"/>
  <c r="D281" i="6"/>
  <c r="E281" i="6"/>
  <c r="F281" i="6" s="1"/>
  <c r="D282" i="6"/>
  <c r="E282" i="6"/>
  <c r="F282" i="6" s="1"/>
  <c r="D283" i="6"/>
  <c r="E283" i="6"/>
  <c r="F283" i="6" s="1"/>
  <c r="D284" i="6"/>
  <c r="F284" i="6"/>
  <c r="D285" i="6"/>
  <c r="F285" i="6"/>
  <c r="D286" i="6"/>
  <c r="E286" i="6"/>
  <c r="F286" i="6" s="1"/>
  <c r="D287" i="6"/>
  <c r="E287" i="6"/>
  <c r="F287" i="6" s="1"/>
  <c r="D288" i="6"/>
  <c r="E288" i="6"/>
  <c r="F288" i="6" s="1"/>
  <c r="D289" i="6"/>
  <c r="E289" i="6"/>
  <c r="F289" i="6" s="1"/>
  <c r="D290" i="6"/>
  <c r="E290" i="6"/>
  <c r="F290" i="6" s="1"/>
  <c r="D291" i="6"/>
  <c r="E291" i="6"/>
  <c r="F291" i="6" s="1"/>
  <c r="D292" i="6"/>
  <c r="E292" i="6"/>
  <c r="F292" i="6" s="1"/>
  <c r="D293" i="6"/>
  <c r="E293" i="6"/>
  <c r="F293" i="6" s="1"/>
  <c r="D294" i="6"/>
  <c r="F294" i="6"/>
  <c r="D295" i="6"/>
  <c r="F295" i="6"/>
  <c r="D296" i="6"/>
  <c r="F296" i="6"/>
  <c r="D297" i="6"/>
  <c r="E297" i="6"/>
  <c r="F297" i="6" s="1"/>
  <c r="D298" i="6"/>
  <c r="E298" i="6"/>
  <c r="F298" i="6" s="1"/>
  <c r="D299" i="6"/>
  <c r="E299" i="6"/>
  <c r="F299" i="6" s="1"/>
  <c r="D300" i="6"/>
  <c r="E300" i="6"/>
  <c r="F300" i="6" s="1"/>
  <c r="D301" i="6"/>
  <c r="E301" i="6"/>
  <c r="F301" i="6" s="1"/>
  <c r="D302" i="6"/>
  <c r="E302" i="6"/>
  <c r="F302" i="6" s="1"/>
  <c r="D303" i="6"/>
  <c r="E303" i="6"/>
  <c r="F303" i="6" s="1"/>
  <c r="D304" i="6"/>
  <c r="E304" i="6"/>
  <c r="F304" i="6" s="1"/>
  <c r="D305" i="6"/>
  <c r="F305" i="6"/>
  <c r="D306" i="6"/>
  <c r="F306" i="6"/>
  <c r="D307" i="6"/>
  <c r="F307" i="6"/>
  <c r="D308" i="6"/>
  <c r="E308" i="6"/>
  <c r="F308" i="6" s="1"/>
  <c r="D309" i="6"/>
  <c r="E309" i="6"/>
  <c r="F309" i="6" s="1"/>
  <c r="D310" i="6"/>
  <c r="E310" i="6"/>
  <c r="F310" i="6" s="1"/>
  <c r="D311" i="6"/>
  <c r="E311" i="6"/>
  <c r="F311" i="6" s="1"/>
  <c r="D312" i="6"/>
  <c r="E312" i="6"/>
  <c r="F312" i="6" s="1"/>
  <c r="D313" i="6"/>
  <c r="E313" i="6"/>
  <c r="F313" i="6" s="1"/>
  <c r="D314" i="6"/>
  <c r="E314" i="6"/>
  <c r="F314" i="6" s="1"/>
  <c r="D315" i="6"/>
  <c r="E315" i="6"/>
  <c r="F315" i="6" s="1"/>
  <c r="D316" i="6"/>
  <c r="F316" i="6"/>
  <c r="D317" i="6"/>
  <c r="F317" i="6"/>
  <c r="D318" i="6"/>
  <c r="F318" i="6"/>
  <c r="D319" i="6"/>
  <c r="E319" i="6"/>
  <c r="F319" i="6" s="1"/>
  <c r="D320" i="6"/>
  <c r="E320" i="6"/>
  <c r="F320" i="6" s="1"/>
  <c r="D321" i="6"/>
  <c r="E321" i="6"/>
  <c r="F321" i="6" s="1"/>
  <c r="D322" i="6"/>
  <c r="E322" i="6"/>
  <c r="F322" i="6" s="1"/>
  <c r="D323" i="6"/>
  <c r="E323" i="6"/>
  <c r="F323" i="6" s="1"/>
  <c r="D324" i="6"/>
  <c r="E324" i="6"/>
  <c r="F324" i="6" s="1"/>
  <c r="D325" i="6"/>
  <c r="E325" i="6"/>
  <c r="F325" i="6" s="1"/>
  <c r="D326" i="6"/>
  <c r="E326" i="6"/>
  <c r="F326" i="6" s="1"/>
  <c r="D327" i="6"/>
  <c r="F327" i="6"/>
  <c r="D328" i="6"/>
  <c r="F328" i="6"/>
  <c r="D329" i="6"/>
  <c r="E329" i="6"/>
  <c r="F329" i="6" s="1"/>
  <c r="D330" i="6"/>
  <c r="E330" i="6"/>
  <c r="F330" i="6" s="1"/>
  <c r="D331" i="6"/>
  <c r="E331" i="6"/>
  <c r="F331" i="6" s="1"/>
  <c r="D332" i="6"/>
  <c r="F332" i="6"/>
  <c r="D333" i="6"/>
  <c r="E333" i="6"/>
  <c r="F333" i="6" s="1"/>
  <c r="D334" i="6"/>
  <c r="E334" i="6"/>
  <c r="F334" i="6" s="1"/>
  <c r="D335" i="6"/>
  <c r="E335" i="6"/>
  <c r="F335" i="6" s="1"/>
  <c r="D336" i="6"/>
  <c r="E336" i="6"/>
  <c r="F336" i="6" s="1"/>
  <c r="D337" i="6"/>
  <c r="E337" i="6"/>
  <c r="F337" i="6" s="1"/>
  <c r="D338" i="6"/>
  <c r="F338" i="6"/>
  <c r="D339" i="6"/>
  <c r="F339" i="6"/>
  <c r="D340" i="6"/>
  <c r="E340" i="6"/>
  <c r="F340" i="6" s="1"/>
  <c r="D341" i="6"/>
  <c r="E341" i="6"/>
  <c r="F341" i="6" s="1"/>
  <c r="D342" i="6"/>
  <c r="E342" i="6"/>
  <c r="F342" i="6" s="1"/>
  <c r="D343" i="6"/>
  <c r="E343" i="6"/>
  <c r="F343" i="6" s="1"/>
  <c r="D344" i="6"/>
  <c r="E344" i="6"/>
  <c r="F344" i="6" s="1"/>
  <c r="D345" i="6"/>
  <c r="E345" i="6"/>
  <c r="F345" i="6" s="1"/>
  <c r="D346" i="6"/>
  <c r="E346" i="6"/>
  <c r="F346" i="6" s="1"/>
  <c r="D347" i="6"/>
  <c r="E347" i="6"/>
  <c r="F347" i="6" s="1"/>
  <c r="D348" i="6"/>
  <c r="F348" i="6"/>
  <c r="D349" i="6"/>
  <c r="F349" i="6"/>
  <c r="D350" i="6"/>
  <c r="F350" i="6"/>
  <c r="D351" i="6"/>
  <c r="E351" i="6"/>
  <c r="F351" i="6" s="1"/>
  <c r="D352" i="6"/>
  <c r="E352" i="6"/>
  <c r="F352" i="6" s="1"/>
  <c r="D353" i="6"/>
  <c r="E353" i="6"/>
  <c r="F353" i="6" s="1"/>
  <c r="D354" i="6"/>
  <c r="E354" i="6"/>
  <c r="F354" i="6" s="1"/>
  <c r="D355" i="6"/>
  <c r="E355" i="6"/>
  <c r="F355" i="6" s="1"/>
  <c r="D356" i="6"/>
  <c r="E356" i="6"/>
  <c r="F356" i="6" s="1"/>
  <c r="D357" i="6"/>
  <c r="E357" i="6"/>
  <c r="F357" i="6" s="1"/>
  <c r="D358" i="6"/>
  <c r="E358" i="6"/>
  <c r="F358" i="6" s="1"/>
  <c r="D359" i="6"/>
  <c r="F359" i="6"/>
  <c r="D360" i="6"/>
  <c r="F360" i="6"/>
  <c r="D361" i="6"/>
  <c r="F361" i="6"/>
  <c r="D362" i="6"/>
  <c r="E362" i="6"/>
  <c r="F362" i="6" s="1"/>
  <c r="D363" i="6"/>
  <c r="E363" i="6"/>
  <c r="F363" i="6" s="1"/>
  <c r="D364" i="6"/>
  <c r="E364" i="6"/>
  <c r="F364" i="6" s="1"/>
  <c r="D365" i="6"/>
  <c r="E365" i="6"/>
  <c r="F365" i="6" s="1"/>
  <c r="D366" i="6"/>
  <c r="E366" i="6"/>
  <c r="F366" i="6" s="1"/>
  <c r="D367" i="6"/>
  <c r="E367" i="6"/>
  <c r="F367" i="6" s="1"/>
  <c r="D368" i="6"/>
  <c r="E368" i="6"/>
  <c r="F368" i="6" s="1"/>
  <c r="D369" i="6"/>
  <c r="E369" i="6"/>
  <c r="F369" i="6" s="1"/>
  <c r="D370" i="6"/>
  <c r="F370" i="6"/>
  <c r="D371" i="6"/>
  <c r="F371" i="6"/>
  <c r="D372" i="6"/>
  <c r="F372" i="6"/>
  <c r="D373" i="6"/>
  <c r="E373" i="6"/>
  <c r="F373" i="6" s="1"/>
  <c r="D374" i="6"/>
  <c r="E374" i="6"/>
  <c r="F374" i="6" s="1"/>
  <c r="D375" i="6"/>
  <c r="E375" i="6"/>
  <c r="F375" i="6" s="1"/>
  <c r="D376" i="6"/>
  <c r="E376" i="6"/>
  <c r="F376" i="6" s="1"/>
  <c r="D377" i="6"/>
  <c r="E377" i="6"/>
  <c r="F377" i="6" s="1"/>
  <c r="D378" i="6"/>
  <c r="E378" i="6"/>
  <c r="F378" i="6" s="1"/>
  <c r="D379" i="6"/>
  <c r="E379" i="6"/>
  <c r="F379" i="6" s="1"/>
  <c r="D380" i="6"/>
  <c r="E380" i="6"/>
  <c r="F380" i="6" s="1"/>
  <c r="D381" i="6"/>
  <c r="F381" i="6"/>
  <c r="D382" i="6"/>
  <c r="F382" i="6"/>
  <c r="D383" i="6"/>
  <c r="E383" i="6"/>
  <c r="F383" i="6" s="1"/>
  <c r="D384" i="6"/>
  <c r="E384" i="6"/>
  <c r="F384" i="6" s="1"/>
  <c r="D385" i="6"/>
  <c r="E385" i="6"/>
  <c r="F385" i="6" s="1"/>
  <c r="D386" i="6"/>
  <c r="E386" i="6"/>
  <c r="F386" i="6" s="1"/>
  <c r="D387" i="6"/>
  <c r="E387" i="6"/>
  <c r="F387" i="6" s="1"/>
  <c r="D388" i="6"/>
  <c r="E388" i="6"/>
  <c r="F388" i="6" s="1"/>
  <c r="D389" i="6"/>
  <c r="E389" i="6"/>
  <c r="F389" i="6" s="1"/>
  <c r="D390" i="6"/>
  <c r="E390" i="6"/>
  <c r="F390" i="6" s="1"/>
  <c r="D391" i="6"/>
  <c r="E391" i="6"/>
  <c r="F391" i="6" s="1"/>
  <c r="D392" i="6"/>
  <c r="F392" i="6"/>
  <c r="D393" i="6"/>
  <c r="F393" i="6"/>
  <c r="D394" i="6"/>
  <c r="E394" i="6"/>
  <c r="F394" i="6" s="1"/>
  <c r="D395" i="6"/>
  <c r="E395" i="6"/>
  <c r="F395" i="6" s="1"/>
  <c r="D396" i="6"/>
  <c r="E396" i="6"/>
  <c r="F396" i="6" s="1"/>
  <c r="D397" i="6"/>
  <c r="E397" i="6"/>
  <c r="F397" i="6" s="1"/>
  <c r="D398" i="6"/>
  <c r="E398" i="6"/>
  <c r="F398" i="6" s="1"/>
  <c r="D399" i="6"/>
  <c r="E399" i="6"/>
  <c r="F399" i="6" s="1"/>
  <c r="D400" i="6"/>
  <c r="E400" i="6"/>
  <c r="F400" i="6" s="1"/>
  <c r="D401" i="6"/>
  <c r="E401" i="6"/>
  <c r="F401" i="6" s="1"/>
  <c r="D402" i="6"/>
  <c r="E402" i="6"/>
  <c r="F402" i="6" s="1"/>
  <c r="D403" i="6"/>
  <c r="F403" i="6"/>
  <c r="D404" i="6"/>
  <c r="F404" i="6"/>
  <c r="D405" i="6"/>
  <c r="E405" i="6"/>
  <c r="F405" i="6" s="1"/>
  <c r="D406" i="6"/>
  <c r="E406" i="6"/>
  <c r="F406" i="6" s="1"/>
  <c r="D407" i="6"/>
  <c r="E407" i="6"/>
  <c r="F407" i="6" s="1"/>
  <c r="D408" i="6"/>
  <c r="E408" i="6"/>
  <c r="F408" i="6" s="1"/>
  <c r="D409" i="6"/>
  <c r="E409" i="6"/>
  <c r="F409" i="6" s="1"/>
  <c r="D410" i="6"/>
  <c r="E410" i="6"/>
  <c r="F410" i="6" s="1"/>
  <c r="D411" i="6"/>
  <c r="E411" i="6"/>
  <c r="F411" i="6" s="1"/>
  <c r="D412" i="6"/>
  <c r="E412" i="6"/>
  <c r="F412" i="6" s="1"/>
  <c r="D413" i="6"/>
  <c r="F413" i="6"/>
  <c r="D414" i="6"/>
  <c r="F414" i="6"/>
  <c r="D415" i="6"/>
  <c r="F415" i="6"/>
  <c r="D416" i="6"/>
  <c r="E416" i="6"/>
  <c r="F416" i="6" s="1"/>
  <c r="D417" i="6"/>
  <c r="E417" i="6"/>
  <c r="F417" i="6" s="1"/>
  <c r="D418" i="6"/>
  <c r="E418" i="6"/>
  <c r="F418" i="6" s="1"/>
  <c r="D419" i="6"/>
  <c r="E419" i="6"/>
  <c r="F419" i="6" s="1"/>
  <c r="D420" i="6"/>
  <c r="E420" i="6"/>
  <c r="F420" i="6" s="1"/>
  <c r="D421" i="6"/>
  <c r="E421" i="6"/>
  <c r="F421" i="6" s="1"/>
  <c r="D422" i="6"/>
  <c r="E422" i="6"/>
  <c r="F422" i="6" s="1"/>
  <c r="D423" i="6"/>
  <c r="E423" i="6"/>
  <c r="F423" i="6" s="1"/>
  <c r="D424" i="6"/>
  <c r="F424" i="6"/>
  <c r="D425" i="6"/>
  <c r="F425" i="6"/>
  <c r="D426" i="6"/>
  <c r="F426" i="6"/>
  <c r="D427" i="6"/>
  <c r="E427" i="6"/>
  <c r="F427" i="6" s="1"/>
  <c r="D428" i="6"/>
  <c r="E428" i="6"/>
  <c r="F428" i="6" s="1"/>
  <c r="D429" i="6"/>
  <c r="E429" i="6"/>
  <c r="F429" i="6" s="1"/>
  <c r="D430" i="6"/>
  <c r="E430" i="6"/>
  <c r="F430" i="6" s="1"/>
  <c r="D431" i="6"/>
  <c r="E431" i="6"/>
  <c r="F431" i="6" s="1"/>
  <c r="D432" i="6"/>
  <c r="E432" i="6"/>
  <c r="F432" i="6" s="1"/>
  <c r="D433" i="6"/>
  <c r="E433" i="6"/>
  <c r="F433" i="6" s="1"/>
  <c r="D434" i="6"/>
  <c r="E434" i="6"/>
  <c r="F434" i="6" s="1"/>
  <c r="D435" i="6"/>
  <c r="E435" i="6"/>
  <c r="F435" i="6" s="1"/>
  <c r="D436" i="6"/>
  <c r="F436" i="6"/>
  <c r="D437" i="6"/>
  <c r="E437" i="6"/>
  <c r="F437" i="6" s="1"/>
  <c r="D438" i="6"/>
  <c r="E438" i="6"/>
  <c r="F438" i="6" s="1"/>
  <c r="D439" i="6"/>
  <c r="E439" i="6"/>
  <c r="F439" i="6" s="1"/>
  <c r="D440" i="6"/>
  <c r="E440" i="6"/>
  <c r="F440" i="6" s="1"/>
  <c r="D441" i="6"/>
  <c r="E441" i="6"/>
  <c r="F441" i="6" s="1"/>
  <c r="D442" i="6"/>
  <c r="E442" i="6"/>
  <c r="F442" i="6" s="1"/>
  <c r="D443" i="6"/>
  <c r="E443" i="6"/>
  <c r="F443" i="6" s="1"/>
  <c r="D444" i="6"/>
  <c r="E444" i="6"/>
  <c r="F444" i="6" s="1"/>
  <c r="D445" i="6"/>
  <c r="E445" i="6"/>
  <c r="F445" i="6" s="1"/>
  <c r="D446" i="6"/>
  <c r="F446" i="6"/>
  <c r="D447" i="6"/>
  <c r="F447" i="6"/>
  <c r="D448" i="6"/>
  <c r="E448" i="6"/>
  <c r="F448" i="6" s="1"/>
  <c r="D449" i="6"/>
  <c r="E449" i="6"/>
  <c r="F449" i="6" s="1"/>
  <c r="D450" i="6"/>
  <c r="E450" i="6"/>
  <c r="F450" i="6" s="1"/>
  <c r="D451" i="6"/>
  <c r="E451" i="6"/>
  <c r="F451" i="6" s="1"/>
  <c r="D452" i="6"/>
  <c r="E452" i="6"/>
  <c r="F452" i="6" s="1"/>
  <c r="D453" i="6"/>
  <c r="E453" i="6"/>
  <c r="F453" i="6" s="1"/>
  <c r="D454" i="6"/>
  <c r="E454" i="6"/>
  <c r="F454" i="6" s="1"/>
  <c r="D455" i="6"/>
  <c r="E455" i="6"/>
  <c r="F455" i="6" s="1"/>
  <c r="D456" i="6"/>
  <c r="F456" i="6"/>
  <c r="D457" i="6"/>
  <c r="F457" i="6"/>
  <c r="D458" i="6"/>
  <c r="F458" i="6"/>
  <c r="D459" i="6"/>
  <c r="E459" i="6"/>
  <c r="F459" i="6" s="1"/>
  <c r="D460" i="6"/>
  <c r="E460" i="6"/>
  <c r="F460" i="6" s="1"/>
  <c r="D461" i="6"/>
  <c r="E461" i="6"/>
  <c r="F461" i="6" s="1"/>
  <c r="D462" i="6"/>
  <c r="E462" i="6"/>
  <c r="F462" i="6" s="1"/>
  <c r="D463" i="6"/>
  <c r="E463" i="6"/>
  <c r="F463" i="6" s="1"/>
  <c r="D464" i="6"/>
  <c r="E464" i="6"/>
  <c r="F464" i="6" s="1"/>
  <c r="D465" i="6"/>
  <c r="E465" i="6"/>
  <c r="F465" i="6" s="1"/>
  <c r="D466" i="6"/>
  <c r="E466" i="6"/>
  <c r="F466" i="6" s="1"/>
  <c r="D467" i="6"/>
  <c r="F467" i="6"/>
  <c r="D468" i="6"/>
  <c r="F468" i="6"/>
  <c r="D469" i="6"/>
  <c r="F469" i="6"/>
  <c r="D470" i="6"/>
  <c r="E470" i="6"/>
  <c r="F470" i="6" s="1"/>
  <c r="D471" i="6"/>
  <c r="E471" i="6"/>
  <c r="F471" i="6" s="1"/>
  <c r="D472" i="6"/>
  <c r="E472" i="6"/>
  <c r="F472" i="6" s="1"/>
  <c r="D473" i="6"/>
  <c r="E473" i="6"/>
  <c r="F473" i="6" s="1"/>
  <c r="D474" i="6"/>
  <c r="E474" i="6"/>
  <c r="F474" i="6" s="1"/>
  <c r="D475" i="6"/>
  <c r="E475" i="6"/>
  <c r="F475" i="6" s="1"/>
  <c r="D476" i="6"/>
  <c r="E476" i="6"/>
  <c r="F476" i="6" s="1"/>
  <c r="D477" i="6"/>
  <c r="E477" i="6"/>
  <c r="F477" i="6" s="1"/>
  <c r="D478" i="6"/>
  <c r="F478" i="6"/>
  <c r="D479" i="6"/>
  <c r="F479" i="6"/>
  <c r="D480" i="6"/>
  <c r="F480" i="6"/>
  <c r="D481" i="6"/>
  <c r="E481" i="6"/>
  <c r="F481" i="6" s="1"/>
  <c r="D482" i="6"/>
  <c r="E482" i="6"/>
  <c r="F482" i="6" s="1"/>
  <c r="D483" i="6"/>
  <c r="E483" i="6"/>
  <c r="F483" i="6" s="1"/>
  <c r="D484" i="6"/>
  <c r="E484" i="6"/>
  <c r="F484" i="6" s="1"/>
  <c r="D485" i="6"/>
  <c r="E485" i="6"/>
  <c r="F485" i="6" s="1"/>
  <c r="D486" i="6"/>
  <c r="E486" i="6"/>
  <c r="F486" i="6" s="1"/>
  <c r="D487" i="6"/>
  <c r="E487" i="6"/>
  <c r="F487" i="6" s="1"/>
  <c r="D488" i="6"/>
  <c r="E488" i="6"/>
  <c r="F488" i="6" s="1"/>
  <c r="D489" i="6"/>
  <c r="F489" i="6"/>
  <c r="D490" i="6"/>
  <c r="F490" i="6"/>
  <c r="D491" i="6"/>
  <c r="E491" i="6"/>
  <c r="F491" i="6" s="1"/>
  <c r="D492" i="6"/>
  <c r="E492" i="6"/>
  <c r="F492" i="6" s="1"/>
  <c r="D493" i="6"/>
  <c r="E493" i="6"/>
  <c r="F493" i="6" s="1"/>
  <c r="D494" i="6"/>
  <c r="E494" i="6"/>
  <c r="F494" i="6" s="1"/>
  <c r="D495" i="6"/>
  <c r="E495" i="6"/>
  <c r="F495" i="6" s="1"/>
  <c r="D496" i="6"/>
  <c r="E496" i="6"/>
  <c r="F496" i="6" s="1"/>
  <c r="D497" i="6"/>
  <c r="E497" i="6"/>
  <c r="F497" i="6" s="1"/>
  <c r="D498" i="6"/>
  <c r="E498" i="6"/>
  <c r="F498" i="6" s="1"/>
  <c r="D499" i="6"/>
  <c r="E499" i="6"/>
  <c r="F499" i="6" s="1"/>
  <c r="D500" i="6"/>
  <c r="F500" i="6"/>
  <c r="D501" i="6"/>
  <c r="F501" i="6"/>
  <c r="D502" i="6"/>
  <c r="E502" i="6"/>
  <c r="F502" i="6" s="1"/>
  <c r="D503" i="6"/>
  <c r="E503" i="6"/>
  <c r="F503" i="6" s="1"/>
  <c r="D504" i="6"/>
  <c r="E504" i="6"/>
  <c r="F504" i="6" s="1"/>
  <c r="D505" i="6"/>
  <c r="E505" i="6"/>
  <c r="F505" i="6" s="1"/>
  <c r="D506" i="6"/>
  <c r="E506" i="6"/>
  <c r="F506" i="6" s="1"/>
  <c r="D507" i="6"/>
  <c r="E507" i="6"/>
  <c r="F507" i="6" s="1"/>
  <c r="D508" i="6"/>
  <c r="E508" i="6"/>
  <c r="F508" i="6" s="1"/>
  <c r="D509" i="6"/>
  <c r="E509" i="6"/>
  <c r="F509" i="6" s="1"/>
  <c r="D510" i="6"/>
  <c r="F510" i="6"/>
  <c r="D511" i="6"/>
  <c r="F511" i="6"/>
  <c r="D512" i="6"/>
  <c r="F512" i="6"/>
  <c r="D513" i="6"/>
  <c r="E513" i="6"/>
  <c r="F513" i="6" s="1"/>
  <c r="D514" i="6"/>
  <c r="E514" i="6"/>
  <c r="F514" i="6" s="1"/>
  <c r="D515" i="6"/>
  <c r="E515" i="6"/>
  <c r="F515" i="6" s="1"/>
  <c r="D516" i="6"/>
  <c r="E516" i="6"/>
  <c r="F516" i="6" s="1"/>
  <c r="D517" i="6"/>
  <c r="E517" i="6"/>
  <c r="F517" i="6" s="1"/>
  <c r="D518" i="6"/>
  <c r="E518" i="6"/>
  <c r="F518" i="6" s="1"/>
  <c r="D519" i="6"/>
  <c r="E519" i="6"/>
  <c r="F519" i="6" s="1"/>
  <c r="D520" i="6"/>
  <c r="E520" i="6"/>
  <c r="F520" i="6" s="1"/>
  <c r="D521" i="6"/>
  <c r="F521" i="6"/>
  <c r="D522" i="6"/>
  <c r="F522" i="6"/>
  <c r="D523" i="6"/>
  <c r="F523" i="6"/>
  <c r="D524" i="6"/>
  <c r="E524" i="6"/>
  <c r="F524" i="6" s="1"/>
  <c r="D525" i="6"/>
  <c r="E525" i="6"/>
  <c r="F525" i="6" s="1"/>
  <c r="D526" i="6"/>
  <c r="E526" i="6"/>
  <c r="F526" i="6" s="1"/>
  <c r="D527" i="6"/>
  <c r="E527" i="6"/>
  <c r="F527" i="6" s="1"/>
  <c r="D528" i="6"/>
  <c r="E528" i="6"/>
  <c r="F528" i="6" s="1"/>
  <c r="D529" i="6"/>
  <c r="E529" i="6"/>
  <c r="F529" i="6" s="1"/>
  <c r="D530" i="6"/>
  <c r="E530" i="6"/>
  <c r="F530" i="6" s="1"/>
  <c r="D531" i="6"/>
  <c r="E531" i="6"/>
  <c r="F531" i="6" s="1"/>
  <c r="D532" i="6"/>
  <c r="F532" i="6"/>
  <c r="D533" i="6"/>
  <c r="F533" i="6"/>
  <c r="D534" i="6"/>
  <c r="F534" i="6"/>
  <c r="D535" i="6"/>
  <c r="E535" i="6"/>
  <c r="F535" i="6" s="1"/>
  <c r="D536" i="6"/>
  <c r="E536" i="6"/>
  <c r="F536" i="6" s="1"/>
  <c r="D537" i="6"/>
  <c r="E537" i="6"/>
  <c r="F537" i="6" s="1"/>
  <c r="D538" i="6"/>
  <c r="E538" i="6"/>
  <c r="F538" i="6" s="1"/>
  <c r="D539" i="6"/>
  <c r="E539" i="6"/>
  <c r="F539" i="6" s="1"/>
  <c r="D34" i="6"/>
  <c r="E34" i="6"/>
  <c r="C5" i="5" a="1"/>
  <c r="C5" i="5" s="1"/>
  <c r="E11" i="5"/>
  <c r="E12" i="5"/>
  <c r="E13" i="5"/>
  <c r="E14" i="5"/>
  <c r="E15" i="5"/>
  <c r="E16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4" i="4"/>
  <c r="E6" i="4"/>
  <c r="E7" i="4"/>
  <c r="D8" i="4"/>
  <c r="E9" i="4"/>
  <c r="E11" i="4"/>
  <c r="E12" i="4"/>
  <c r="E13" i="4"/>
  <c r="E14" i="4"/>
  <c r="G15" i="4"/>
  <c r="E16" i="4"/>
  <c r="H17" i="4"/>
  <c r="E18" i="4"/>
  <c r="B5" i="4"/>
  <c r="B6" i="4"/>
  <c r="B7" i="4"/>
  <c r="B8" i="4"/>
  <c r="B9" i="4"/>
  <c r="B10" i="4"/>
  <c r="B11" i="4"/>
  <c r="B12" i="4"/>
  <c r="B13" i="4"/>
  <c r="B14" i="4"/>
  <c r="B15" i="4"/>
  <c r="C4" i="5"/>
  <c r="H1" i="5"/>
  <c r="H14" i="4" l="1"/>
  <c r="G22" i="5" s="1"/>
  <c r="I15" i="4"/>
  <c r="H23" i="5" s="1"/>
  <c r="I13" i="4"/>
  <c r="H21" i="5" s="1"/>
  <c r="D16" i="4"/>
  <c r="H16" i="4"/>
  <c r="G24" i="5" s="1"/>
  <c r="H15" i="4"/>
  <c r="G23" i="5" s="1"/>
  <c r="I14" i="4"/>
  <c r="H22" i="5" s="1"/>
  <c r="I16" i="4"/>
  <c r="H24" i="5" s="1"/>
  <c r="H13" i="4"/>
  <c r="G21" i="5" s="1"/>
  <c r="D10" i="4"/>
  <c r="H10" i="4"/>
  <c r="G18" i="5" s="1"/>
  <c r="D9" i="4"/>
  <c r="H9" i="4"/>
  <c r="G17" i="5" s="1"/>
  <c r="I11" i="4"/>
  <c r="H19" i="5" s="1"/>
  <c r="D14" i="4"/>
  <c r="D12" i="4"/>
  <c r="E5" i="4"/>
  <c r="F28" i="5"/>
  <c r="J36" i="4"/>
  <c r="F30" i="5"/>
  <c r="J38" i="4"/>
  <c r="F29" i="5"/>
  <c r="J37" i="4"/>
  <c r="F27" i="5"/>
  <c r="D11" i="4"/>
  <c r="G6" i="4"/>
  <c r="F14" i="5" s="1"/>
  <c r="I6" i="4"/>
  <c r="H14" i="5" s="1"/>
  <c r="H6" i="4"/>
  <c r="G14" i="5" s="1"/>
  <c r="D17" i="4"/>
  <c r="D15" i="4"/>
  <c r="D13" i="4"/>
  <c r="G4" i="4"/>
  <c r="F12" i="5" s="1"/>
  <c r="I4" i="4"/>
  <c r="H12" i="5" s="1"/>
  <c r="F25" i="5"/>
  <c r="D3" i="4"/>
  <c r="D5" i="4"/>
  <c r="I5" i="4"/>
  <c r="H13" i="5" s="1"/>
  <c r="H5" i="4"/>
  <c r="G13" i="5" s="1"/>
  <c r="G18" i="4"/>
  <c r="F26" i="5" s="1"/>
  <c r="E8" i="4"/>
  <c r="I8" i="4"/>
  <c r="H16" i="5" s="1"/>
  <c r="H8" i="4"/>
  <c r="D7" i="4"/>
  <c r="I7" i="4"/>
  <c r="H15" i="5" s="1"/>
  <c r="H7" i="4"/>
  <c r="G25" i="5"/>
  <c r="G14" i="4"/>
  <c r="E15" i="4"/>
  <c r="G10" i="4"/>
  <c r="I12" i="4"/>
  <c r="H20" i="5" s="1"/>
  <c r="H12" i="4"/>
  <c r="G20" i="5" s="1"/>
  <c r="F23" i="5"/>
  <c r="F13" i="5"/>
  <c r="G3" i="4"/>
  <c r="G9" i="4"/>
  <c r="G7" i="4"/>
  <c r="I3" i="4"/>
  <c r="H11" i="5" s="1"/>
  <c r="G11" i="4"/>
  <c r="H4" i="4"/>
  <c r="G16" i="4"/>
  <c r="H11" i="4"/>
  <c r="G19" i="5" s="1"/>
  <c r="E17" i="4"/>
  <c r="G13" i="4"/>
  <c r="G12" i="4"/>
  <c r="I17" i="4"/>
  <c r="H25" i="5" s="1"/>
  <c r="D6" i="4"/>
  <c r="E10" i="4"/>
  <c r="D4" i="4"/>
  <c r="G8" i="4"/>
  <c r="I10" i="4"/>
  <c r="H18" i="5" s="1"/>
  <c r="I9" i="4"/>
  <c r="H17" i="5" s="1"/>
  <c r="H3" i="4"/>
  <c r="G11" i="5" s="1"/>
  <c r="F39" i="4"/>
  <c r="H2" i="5" s="1"/>
  <c r="J15" i="4" l="1"/>
  <c r="J13" i="4"/>
  <c r="J14" i="4"/>
  <c r="K15" i="4"/>
  <c r="J23" i="5" s="1"/>
  <c r="J16" i="4"/>
  <c r="K6" i="4"/>
  <c r="J14" i="5" s="1"/>
  <c r="J6" i="4"/>
  <c r="J4" i="4"/>
  <c r="J11" i="4"/>
  <c r="J3" i="4"/>
  <c r="J17" i="4"/>
  <c r="K18" i="4"/>
  <c r="J26" i="5" s="1"/>
  <c r="J18" i="4"/>
  <c r="J9" i="4"/>
  <c r="J10" i="4"/>
  <c r="F20" i="5"/>
  <c r="J12" i="4"/>
  <c r="F16" i="5"/>
  <c r="J8" i="4"/>
  <c r="F15" i="5"/>
  <c r="J7" i="4"/>
  <c r="J5" i="4"/>
  <c r="F11" i="5"/>
  <c r="K12" i="4"/>
  <c r="J20" i="5" s="1"/>
  <c r="K5" i="4"/>
  <c r="J13" i="5" s="1"/>
  <c r="F22" i="5"/>
  <c r="K14" i="4"/>
  <c r="J22" i="5" s="1"/>
  <c r="G15" i="5"/>
  <c r="K7" i="4"/>
  <c r="J15" i="5" s="1"/>
  <c r="F24" i="5"/>
  <c r="K16" i="4"/>
  <c r="J24" i="5" s="1"/>
  <c r="K8" i="4"/>
  <c r="J16" i="5" s="1"/>
  <c r="G16" i="5"/>
  <c r="K17" i="4"/>
  <c r="J25" i="5" s="1"/>
  <c r="G12" i="5"/>
  <c r="K4" i="4"/>
  <c r="J12" i="5" s="1"/>
  <c r="F19" i="5"/>
  <c r="K11" i="4"/>
  <c r="J19" i="5" s="1"/>
  <c r="F21" i="5"/>
  <c r="K13" i="4"/>
  <c r="J21" i="5" s="1"/>
  <c r="F17" i="5"/>
  <c r="K9" i="4"/>
  <c r="J17" i="5" s="1"/>
  <c r="F18" i="5"/>
  <c r="K10" i="4"/>
  <c r="J18" i="5" s="1"/>
  <c r="K3" i="4"/>
  <c r="J11" i="5" s="1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59" i="4"/>
  <c r="H5" i="5" l="1"/>
  <c r="G39" i="4"/>
  <c r="E39" i="4" l="1"/>
  <c r="H7" i="5" s="1"/>
  <c r="K39" i="4"/>
  <c r="H8" i="5" s="1"/>
  <c r="D39" i="4"/>
  <c r="H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<sst xmlns="http://schemas.openxmlformats.org/spreadsheetml/2006/main" count="146" uniqueCount="76">
  <si>
    <t>Customer Name:</t>
  </si>
  <si>
    <t>Order Date:</t>
  </si>
  <si>
    <t>Company Name:</t>
  </si>
  <si>
    <t>Date Required By:</t>
  </si>
  <si>
    <t>Address:</t>
  </si>
  <si>
    <t>Total Curtains:</t>
  </si>
  <si>
    <t>Phone:</t>
  </si>
  <si>
    <t>No</t>
  </si>
  <si>
    <t>Location</t>
  </si>
  <si>
    <t>Width</t>
  </si>
  <si>
    <t>Drop</t>
  </si>
  <si>
    <t xml:space="preserve">Deducted size </t>
  </si>
  <si>
    <t>Curtain Type</t>
  </si>
  <si>
    <t>Hem</t>
  </si>
  <si>
    <t>Fabric</t>
  </si>
  <si>
    <t>Colour</t>
  </si>
  <si>
    <t>Installation</t>
  </si>
  <si>
    <t>Bracket Type</t>
  </si>
  <si>
    <t>Track Colour</t>
  </si>
  <si>
    <t>Opening Type</t>
  </si>
  <si>
    <t>Wand Size</t>
  </si>
  <si>
    <t>Notes</t>
  </si>
  <si>
    <t>0-2750</t>
  </si>
  <si>
    <t>3751-4750</t>
  </si>
  <si>
    <t>4751-5750</t>
  </si>
  <si>
    <t>5751-6750</t>
  </si>
  <si>
    <t>6751-7750</t>
  </si>
  <si>
    <t>7751-8750</t>
  </si>
  <si>
    <t>METERS</t>
  </si>
  <si>
    <t>No of BRACKETS</t>
  </si>
  <si>
    <t>2751-3750</t>
  </si>
  <si>
    <t>mm</t>
  </si>
  <si>
    <t>width</t>
  </si>
  <si>
    <t>wand</t>
  </si>
  <si>
    <t>Signature Shades</t>
  </si>
  <si>
    <t>8751-9750</t>
  </si>
  <si>
    <t>9751-10750</t>
  </si>
  <si>
    <t>10751-11750</t>
  </si>
  <si>
    <t>No of Wands</t>
  </si>
  <si>
    <t>No of Brackets</t>
  </si>
  <si>
    <t>Total Fabrics</t>
  </si>
  <si>
    <t>Order Refferance</t>
  </si>
  <si>
    <t>White</t>
  </si>
  <si>
    <t>No of Hooks</t>
  </si>
  <si>
    <t xml:space="preserve">Deducted Drop </t>
  </si>
  <si>
    <t>Standard</t>
  </si>
  <si>
    <t>Extended</t>
  </si>
  <si>
    <t>S Fold</t>
  </si>
  <si>
    <t>Wall</t>
  </si>
  <si>
    <t>rounded</t>
  </si>
  <si>
    <t>actual</t>
  </si>
  <si>
    <t>even</t>
  </si>
  <si>
    <t>Right Side Hooks</t>
  </si>
  <si>
    <t>Left Side Hook</t>
  </si>
  <si>
    <t>Single hooks</t>
  </si>
  <si>
    <t xml:space="preserve"> </t>
  </si>
  <si>
    <t xml:space="preserve">   </t>
  </si>
  <si>
    <t>Total Hooks</t>
  </si>
  <si>
    <t>70 mm</t>
  </si>
  <si>
    <t>Bali</t>
  </si>
  <si>
    <t>Pearl</t>
  </si>
  <si>
    <t>Single Open</t>
  </si>
  <si>
    <t>Total Curtain Meteres</t>
  </si>
  <si>
    <t>Fullness</t>
  </si>
  <si>
    <t>flax</t>
  </si>
  <si>
    <t>120 Fullness</t>
  </si>
  <si>
    <t>140 Fullness</t>
  </si>
  <si>
    <t>144 Fullness</t>
  </si>
  <si>
    <t>Centre Open</t>
  </si>
  <si>
    <t xml:space="preserve">B1    </t>
  </si>
  <si>
    <t xml:space="preserve">B2    </t>
  </si>
  <si>
    <t xml:space="preserve">B3    </t>
  </si>
  <si>
    <t>Master</t>
  </si>
  <si>
    <t xml:space="preserve">L1    </t>
  </si>
  <si>
    <t xml:space="preserve">Tv L  </t>
  </si>
  <si>
    <t xml:space="preserve">Tv 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</si>
</sst>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;[Red]0"/>
    <numFmt numFmtId="166" formatCode="0.00;[Red]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E8E6E3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2" applyProtection="1">
      <protection locked="0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2" fontId="4" fillId="0" borderId="1" xfId="0" applyNumberFormat="1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right" wrapText="1"/>
    </xf>
    <xf numFmtId="43" fontId="5" fillId="0" borderId="2" xfId="1" applyFont="1" applyBorder="1" applyAlignment="1">
      <alignment horizontal="center" wrapText="1"/>
    </xf>
    <xf numFmtId="43" fontId="6" fillId="0" borderId="4" xfId="1" applyFont="1" applyBorder="1" applyAlignment="1">
      <alignment horizontal="right" wrapText="1"/>
    </xf>
    <xf numFmtId="43" fontId="0" fillId="0" borderId="0" xfId="1" applyFont="1"/>
    <xf numFmtId="43" fontId="5" fillId="0" borderId="6" xfId="1" applyFont="1" applyBorder="1" applyAlignment="1">
      <alignment horizontal="center" wrapText="1"/>
    </xf>
    <xf numFmtId="164" fontId="6" fillId="0" borderId="7" xfId="1" applyNumberFormat="1" applyFont="1" applyBorder="1" applyAlignment="1">
      <alignment horizontal="right" wrapText="1"/>
    </xf>
    <xf numFmtId="0" fontId="0" fillId="0" borderId="8" xfId="0" applyBorder="1"/>
    <xf numFmtId="2" fontId="0" fillId="0" borderId="0" xfId="0" applyNumberFormat="1"/>
    <xf numFmtId="1" fontId="0" fillId="0" borderId="0" xfId="0" applyNumberFormat="1"/>
    <xf numFmtId="2" fontId="7" fillId="0" borderId="0" xfId="0" applyNumberFormat="1" applyFont="1"/>
    <xf numFmtId="1" fontId="4" fillId="0" borderId="1" xfId="0" applyNumberFormat="1" applyFont="1" applyBorder="1" applyAlignment="1">
      <alignment wrapText="1"/>
    </xf>
    <xf numFmtId="0" fontId="0" fillId="0" borderId="9" xfId="0" applyBorder="1"/>
    <xf numFmtId="1" fontId="0" fillId="0" borderId="10" xfId="0" applyNumberFormat="1" applyBorder="1"/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15" xfId="0" applyBorder="1"/>
    <xf numFmtId="0" fontId="10" fillId="0" borderId="8" xfId="0" applyFont="1" applyBorder="1"/>
    <xf numFmtId="165" fontId="0" fillId="0" borderId="0" xfId="0" applyNumberFormat="1"/>
    <xf numFmtId="166" fontId="0" fillId="0" borderId="0" xfId="0" applyNumberFormat="1"/>
    <xf numFmtId="0" fontId="2" fillId="0" borderId="1" xfId="0" applyFont="1" applyBorder="1"/>
    <xf numFmtId="0" fontId="3" fillId="0" borderId="0" xfId="2" applyFont="1" applyAlignment="1" applyProtection="1">
      <alignment horizontal="center"/>
      <protection locked="0"/>
    </xf>
    <xf numFmtId="0" fontId="1" fillId="0" borderId="0" xfId="3" quotePrefix="1" applyAlignment="1" applyProtection="1">
      <alignment horizontal="center"/>
      <protection locked="0"/>
    </xf>
    <xf numFmtId="0" fontId="1" fillId="0" borderId="0" xfId="3" applyAlignment="1" applyProtection="1">
      <alignment horizontal="center"/>
      <protection locked="0"/>
    </xf>
    <xf numFmtId="0" fontId="11" fillId="0" borderId="0" xfId="0" applyFont="1" applyAlignment="1">
      <alignment horizontal="left" indent="1"/>
    </xf>
    <xf numFmtId="0" fontId="11" fillId="0" borderId="17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left" indent="1"/>
    </xf>
    <xf numFmtId="0" fontId="12" fillId="0" borderId="0" xfId="0" applyFont="1" applyAlignment="1">
      <alignment horizontal="left" vertical="center" indent="1"/>
    </xf>
    <xf numFmtId="0" fontId="12" fillId="0" borderId="16" xfId="2" applyFont="1" applyBorder="1" applyAlignment="1" applyProtection="1">
      <alignment horizontal="left" vertical="center" indent="1"/>
      <protection locked="0"/>
    </xf>
    <xf numFmtId="0" fontId="12" fillId="0" borderId="18" xfId="0" applyFont="1" applyBorder="1" applyAlignment="1">
      <alignment horizontal="left" vertical="center" indent="1"/>
    </xf>
    <xf numFmtId="0" fontId="11" fillId="0" borderId="25" xfId="0" applyFont="1" applyBorder="1" applyAlignment="1">
      <alignment horizontal="left" indent="1"/>
    </xf>
    <xf numFmtId="0" fontId="11" fillId="0" borderId="9" xfId="0" applyFont="1" applyBorder="1" applyAlignment="1">
      <alignment horizontal="left" vertical="top" indent="1"/>
    </xf>
    <xf numFmtId="0" fontId="11" fillId="0" borderId="1" xfId="0" applyFont="1" applyBorder="1" applyAlignment="1">
      <alignment horizontal="left" indent="1"/>
    </xf>
    <xf numFmtId="0" fontId="11" fillId="0" borderId="1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1" fontId="11" fillId="0" borderId="1" xfId="0" applyNumberFormat="1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top" indent="1"/>
    </xf>
    <xf numFmtId="0" fontId="11" fillId="0" borderId="8" xfId="0" applyFont="1" applyBorder="1" applyAlignment="1">
      <alignment horizontal="left" indent="1"/>
    </xf>
    <xf numFmtId="0" fontId="11" fillId="0" borderId="14" xfId="0" applyFont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3" fillId="0" borderId="1" xfId="2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/>
    <xf numFmtId="0" fontId="1" fillId="0" borderId="1" xfId="3" quotePrefix="1" applyBorder="1" applyAlignment="1" applyProtection="1">
      <alignment horizontal="center"/>
      <protection locked="0"/>
    </xf>
    <xf numFmtId="0" fontId="1" fillId="0" borderId="1" xfId="3" applyBorder="1" applyAlignment="1" applyProtection="1">
      <alignment horizontal="center"/>
      <protection locked="0"/>
    </xf>
    <xf numFmtId="16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16" fontId="1" fillId="0" borderId="1" xfId="3" applyNumberFormat="1" applyBorder="1" applyAlignment="1" applyProtection="1">
      <alignment horizontal="center"/>
      <protection locked="0"/>
    </xf>
    <xf numFmtId="0" fontId="14" fillId="3" borderId="23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14" fillId="3" borderId="20" xfId="0" applyFont="1" applyFill="1" applyBorder="1" applyAlignment="1">
      <alignment horizontal="left" vertical="center" indent="1"/>
    </xf>
    <xf numFmtId="0" fontId="14" fillId="3" borderId="26" xfId="0" applyFont="1" applyFill="1" applyBorder="1" applyAlignment="1">
      <alignment horizontal="left" vertical="center" indent="1"/>
    </xf>
    <xf numFmtId="0" fontId="14" fillId="3" borderId="22" xfId="0" applyFont="1" applyFill="1" applyBorder="1" applyAlignment="1">
      <alignment horizontal="left" vertical="center" wrapText="1" indent="1"/>
    </xf>
    <xf numFmtId="0" fontId="11" fillId="0" borderId="21" xfId="3" applyFont="1" applyBorder="1" applyAlignment="1" applyProtection="1">
      <alignment horizontal="left" indent="1"/>
      <protection locked="0"/>
    </xf>
    <xf numFmtId="0" fontId="11" fillId="0" borderId="28" xfId="3" applyFont="1" applyBorder="1" applyAlignment="1" applyProtection="1">
      <alignment horizontal="left" indent="1"/>
      <protection locked="0"/>
    </xf>
    <xf numFmtId="0" fontId="11" fillId="0" borderId="19" xfId="0" applyFont="1" applyBorder="1" applyAlignment="1">
      <alignment horizontal="left" indent="1"/>
    </xf>
    <xf numFmtId="0" fontId="11" fillId="0" borderId="26" xfId="0" applyFont="1" applyBorder="1" applyAlignment="1">
      <alignment horizontal="left" indent="1"/>
    </xf>
  </cellXfs>
  <cellStyles count="5">
    <cellStyle name="Comma" xfId="1" builtinId="3"/>
    <cellStyle name="Normal" xfId="0" builtinId="0"/>
    <cellStyle name="Normal 2" xfId="2" xr:uid="{041D5D47-4808-4F11-82C5-B2FC3B026A08}"/>
    <cellStyle name="Normal 2 2" xfId="3" xr:uid="{63A36619-93E8-42E2-9B65-340EF404E6E5}"/>
    <cellStyle name="Normal 3" xfId="4" xr:uid="{5A47C51C-4E1B-4E10-8506-9740B3CACE94}"/>
  </cellStyles>
  <dxfs count="49">
    <dxf>
      <fill>
        <patternFill>
          <bgColor theme="5" tint="0.59996337778862885"/>
        </patternFill>
      </fill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1" formatCode="0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top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textRotation="0" relativeIndent="1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vertical="center" textRotation="0" wrapText="0" relativeInden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563084</xdr:colOff>
      <xdr:row>1</xdr:row>
      <xdr:rowOff>82627</xdr:rowOff>
    </xdr:from>
    <xdr:to>
      <xdr:col>15</xdr:col>
      <xdr:colOff>1584347</xdr:colOff>
      <xdr:row>6</xdr:row>
      <xdr:rowOff>53524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BCF829-5D8C-5E6D-C3D7-C5999977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6771" y="275422"/>
          <a:ext cx="3863064" cy="8905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610355-C390-4C6D-9C99-854C5845FA28}" name="Table3" displayName="Table3" ref="A2:K39" totalsRowCount="1" headerRowDxfId="48" headerRowBorderDxfId="47" tableBorderDxfId="46" totalsRowBorderDxfId="45">
  <autoFilter ref="A2:K38" xr:uid="{F8610355-C390-4C6D-9C99-854C5845FA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0F613C5-04CE-4222-9BC9-018B47F346FF}" name="No" dataDxfId="44" totalsRowDxfId="43">
      <calculatedColumnFormula>'Order Form'!A11</calculatedColumnFormula>
    </tableColumn>
    <tableColumn id="2" xr3:uid="{E7C543F7-911F-4AD9-B29C-AA1381D03616}" name="Location" dataDxfId="42" totalsRowDxfId="41">
      <calculatedColumnFormula>IF('Order Form'!B11=0,"",'Order Form'!B11)</calculatedColumnFormula>
    </tableColumn>
    <tableColumn id="3" xr3:uid="{48182368-E90B-4564-8235-15D2576E8158}" name="width" dataDxfId="40" totalsRowDxfId="39">
      <calculatedColumnFormula>'Order Form'!C11</calculatedColumnFormula>
    </tableColumn>
    <tableColumn id="12" xr3:uid="{F016D49C-B365-41A1-84E3-42BDFB6A1D7F}" name="Standard" totalsRowFunction="custom" dataDxfId="38" totalsRowDxfId="37">
      <calculatedColumnFormula>IF('Order Form'!K11="Standard",(IFERROR(VLOOKUP($C3,$S$43:$T$52,2),"")),"")</calculatedColumnFormula>
      <totalsRowFormula>SUM(Table3[Standard])</totalsRowFormula>
    </tableColumn>
    <tableColumn id="11" xr3:uid="{4F864CB3-7C72-4127-84EF-28AB399766B3}" name="Extended" totalsRowFunction="custom" dataDxfId="36" totalsRowDxfId="35">
      <calculatedColumnFormula>IF('Order Form'!K11="Extended",(IFERROR(VLOOKUP($C3,$S$43:$T$52,2),"")),"")</calculatedColumnFormula>
      <totalsRowFormula>SUM(Table3[Extended])</totalsRowFormula>
    </tableColumn>
    <tableColumn id="5" xr3:uid="{EBD6ECEE-5931-469E-A3B2-1CCBE0C0F367}" name="wand" totalsRowFunction="custom" dataDxfId="34" totalsRowDxfId="33">
      <calculatedColumnFormula>IF(ISBLANK('Order Form'!$M11),"",IF('Order Form'!$M11="Centre Open",2,1))</calculatedColumnFormula>
      <totalsRowFormula>SUM(Table3[wand])</totalsRowFormula>
    </tableColumn>
    <tableColumn id="7" xr3:uid="{7FAA0378-C565-4439-BC66-273F41B3A98F}" name="Single hooks" totalsRowFunction="custom" dataDxfId="32" totalsRowDxfId="31">
      <calculatedColumnFormula>IF('Order Form'!$M11="Single Open",VLOOKUP(Table3[[#This Row],[width]],'VLOOK Hooks'!$C$3:$F$539,4,TRUE),"")</calculatedColumnFormula>
      <totalsRowFormula>SUM(Table3[Single hooks])</totalsRowFormula>
    </tableColumn>
    <tableColumn id="14" xr3:uid="{A054AF72-10C7-44AC-BD4F-55A3912AD36F}" name="Left Side Hook" dataDxfId="30" totalsRowDxfId="29">
      <calculatedColumnFormula>IF('Order Form'!$M11="Centre Open",VLOOKUP((Table3[[#This Row],[width]]/2),'VLOOK Hooks'!$C$3:$F$539,4,TRUE),"")</calculatedColumnFormula>
    </tableColumn>
    <tableColumn id="8" xr3:uid="{D272B234-9AE5-4BE8-8FBD-2F00A62964C1}" name="Right Side Hooks" dataDxfId="28" totalsRowDxfId="27">
      <calculatedColumnFormula>IF('Order Form'!$M11="Centre Open",VLOOKUP((Table3[[#This Row],[width]]/2),'VLOOK Hooks'!$C$3:$F$539,4,TRUE),"")</calculatedColumnFormula>
    </tableColumn>
    <tableColumn id="6" xr3:uid="{9983C258-362A-4773-A497-403859C9E010}" name="Total Hooks" dataDxfId="26" totalsRowDxfId="25">
      <calculatedColumnFormula>SUM(Table3[[#This Row],[Single hooks]:[Right Side Hooks]])</calculatedColumnFormula>
    </tableColumn>
    <tableColumn id="9" xr3:uid="{A2A32203-5F06-4E66-81AF-A5A7D5B307B3}" name="Fabric" totalsRowFunction="custom" dataDxfId="24" totalsRowDxfId="23">
      <calculatedColumnFormula>IF('Order Form'!$M11="Single Open",((Table3[[#This Row],[Single hooks]]*120)+140),IF('Order Form'!$M11="Centre Open",(((Table3[[#This Row],[Left Side Hook]]+Table3[[#This Row],[Right Side Hooks]])*120)+280),""))</calculatedColumnFormula>
      <totalsRowFormula>SUM(Table3[Fabric])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AFA0B-1697-4926-80D5-A32ADBBA0037}" name="FInal" displayName="FInal" ref="A10:J30" headerRowDxfId="22" dataDxfId="20" totalsRowDxfId="18" headerRowBorderDxfId="21" tableBorderDxfId="19" totalsRowBorderDxfId="17">
  <autoFilter ref="A10:J30" xr:uid="{8BAAFA0B-1697-4926-80D5-A32ADBBA00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6CAE725-DD7A-4DAE-B9AC-20BA43CCBF87}" name="No" totalsRowLabel="Total" dataDxfId="16" totalsRowDxfId="15"/>
    <tableColumn id="2" xr3:uid="{F1E6870B-34A7-4E1E-91B7-0738A4C19956}" name="Location" dataDxfId="14">
      <calculatedColumnFormula>IF(ISBLANK('Order Form'!$B11),"",'Order Form'!$B11)</calculatedColumnFormula>
    </tableColumn>
    <tableColumn id="6" xr3:uid="{AA569B86-C4EB-464B-908E-3187443CE3B0}" name="Width" dataDxfId="13">
      <calculatedColumnFormula>IF(ISBLANK('Order Form'!$C11),"",'Order Form'!$C11)</calculatedColumnFormula>
    </tableColumn>
    <tableColumn id="7" xr3:uid="{C69A0FF0-838D-4BF4-A886-A2F93819D982}" name="Deducted Drop " dataDxfId="12">
      <calculatedColumnFormula>IF(ISBLANK('Order Form'!$E11),"",'Order Form'!$E11)</calculatedColumnFormula>
    </tableColumn>
    <tableColumn id="5" xr3:uid="{C61082F1-A816-43BE-8943-5376A09BD690}" name="Opening Type" dataDxfId="11">
      <calculatedColumnFormula>IF(ISBLANK('Order Form'!M11),"",'Order Form'!M11)</calculatedColumnFormula>
    </tableColumn>
    <tableColumn id="10" xr3:uid="{55CC74B4-386F-4C00-AC31-DE50E1EC7C58}" name="Single hooks" dataDxfId="10" totalsRowDxfId="9">
      <calculatedColumnFormula>IF(ISBLANK('Indetail CAL'!$G3),"",'Indetail CAL'!$G3)</calculatedColumnFormula>
    </tableColumn>
    <tableColumn id="9" xr3:uid="{E6CE5AFB-0B5E-4B4E-B961-5153DAA59DDE}" name="Left Side Hook" dataDxfId="8" totalsRowDxfId="7">
      <calculatedColumnFormula>IF(ISBLANK('Indetail CAL'!$H3),"",'Indetail CAL'!$H3)</calculatedColumnFormula>
    </tableColumn>
    <tableColumn id="3" xr3:uid="{922711C1-383D-4FA7-B111-AA0CE50981EE}" name="Right Side Hooks" dataDxfId="6" totalsRowDxfId="5">
      <calculatedColumnFormula>IF('Indetail CAL'!$I3=0,"",('Indetail CAL'!$I3))</calculatedColumnFormula>
    </tableColumn>
    <tableColumn id="8" xr3:uid="{53516028-3D5F-4ADA-8AE2-B1C82C07B5E3}" name="Fullness" dataDxfId="4" totalsRowDxfId="3">
      <calculatedColumnFormula>IF(ISBLANK('Order Form'!$O11),"",'Order Form'!$O11)</calculatedColumnFormula>
    </tableColumn>
    <tableColumn id="11" xr3:uid="{F4A4ACF6-542E-4B71-8965-F8FF4D60484D}" name="Fabric" dataDxfId="2" totalsRowDxfId="1">
      <calculatedColumnFormula>IF(ISBLANK('Indetail CAL'!K3),"",'Indetail CAL'!K3)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80E1-5F30-4ACC-AA2A-1153D85EBCA3}">
  <sheetPr codeName="Sheet1"/>
  <dimension ref="A1:S37"/>
  <sheetViews>
    <sheetView tabSelected="1" zoomScaleNormal="100" workbookViewId="0">
      <selection activeCell="K9" sqref="K9"/>
    </sheetView>
  </sheetViews>
  <sheetFormatPr defaultColWidth="8.7109375" defaultRowHeight="15" x14ac:dyDescent="0.25"/>
  <cols>
    <col min="1" max="1" width="10.7109375" customWidth="1"/>
    <col min="2" max="2" width="23.140625" customWidth="1"/>
    <col min="3" max="3" width="10.42578125" customWidth="1"/>
    <col min="4" max="4" width="11.140625" customWidth="1"/>
    <col min="5" max="5" width="5.28515625" hidden="1" customWidth="1"/>
    <col min="8" max="8" width="14.7109375" customWidth="1"/>
    <col min="9" max="9" width="26.28515625" customWidth="1"/>
    <col min="10" max="10" width="13.28515625" customWidth="1"/>
    <col min="11" max="11" width="10.42578125" customWidth="1"/>
    <col min="13" max="13" width="13.7109375" customWidth="1"/>
    <col min="15" max="15" width="18.7109375" customWidth="1"/>
    <col min="16" max="16" width="36.7109375" customWidth="1"/>
  </cols>
  <sheetData>
    <row r="1" spans="1:19" x14ac:dyDescent="0.25">
      <c r="C1" s="1"/>
      <c r="D1" s="1"/>
      <c r="E1" s="1"/>
      <c r="F1" s="1"/>
      <c r="G1" s="1"/>
      <c r="H1" s="1"/>
    </row>
    <row r="2" spans="1:19" x14ac:dyDescent="0.25">
      <c r="B2" s="56" t="s">
        <v>0</v>
      </c>
      <c r="C2" s="63"/>
      <c r="D2" s="63"/>
      <c r="E2" s="63"/>
      <c r="F2" s="63"/>
      <c r="G2" s="63"/>
      <c r="H2" s="2"/>
      <c r="I2" s="56" t="s">
        <v>1</v>
      </c>
      <c r="J2" s="64">
        <f ca="1">TODAY()</f>
        <v>46137</v>
      </c>
      <c r="K2" s="65"/>
      <c r="L2" s="65"/>
    </row>
    <row r="3" spans="1:19" x14ac:dyDescent="0.25">
      <c r="B3" s="56" t="s">
        <v>2</v>
      </c>
      <c r="C3" s="63" t="s">
        <v>34</v>
      </c>
      <c r="D3" s="63"/>
      <c r="E3" s="63"/>
      <c r="F3" s="63"/>
      <c r="G3" s="63"/>
      <c r="H3" s="2"/>
      <c r="I3" s="56" t="s">
        <v>3</v>
      </c>
      <c r="J3" s="66"/>
      <c r="K3" s="63"/>
      <c r="L3" s="63"/>
    </row>
    <row r="4" spans="1:19" x14ac:dyDescent="0.25">
      <c r="B4" s="56" t="s">
        <v>4</v>
      </c>
      <c r="C4" s="63"/>
      <c r="D4" s="63"/>
      <c r="E4" s="63"/>
      <c r="F4" s="63"/>
      <c r="G4" s="63"/>
      <c r="H4" s="2"/>
      <c r="I4" s="56" t="s">
        <v>5</v>
      </c>
      <c r="J4" s="63">
        <f>COUNT(C11:C30)</f>
        <v>7</v>
      </c>
      <c r="K4" s="63"/>
      <c r="L4" s="63"/>
    </row>
    <row r="5" spans="1:19" x14ac:dyDescent="0.25">
      <c r="B5" s="56" t="s">
        <v>6</v>
      </c>
      <c r="C5" s="62"/>
      <c r="D5" s="63"/>
      <c r="E5" s="63"/>
      <c r="F5" s="63"/>
      <c r="G5" s="63"/>
      <c r="H5" s="2"/>
      <c r="I5" s="56" t="s">
        <v>62</v>
      </c>
      <c r="J5" s="63">
        <f>SUM(C11:C30)/1000</f>
        <v>24.096</v>
      </c>
      <c r="K5" s="63"/>
      <c r="L5" s="63"/>
    </row>
    <row r="6" spans="1:19" x14ac:dyDescent="0.25">
      <c r="B6" s="31"/>
      <c r="C6" s="32"/>
      <c r="D6" s="33"/>
      <c r="E6" s="33"/>
      <c r="F6" s="33"/>
      <c r="G6" s="33"/>
      <c r="H6" s="2"/>
      <c r="I6" s="2"/>
      <c r="J6" s="2"/>
      <c r="K6" s="2"/>
      <c r="L6" s="2"/>
    </row>
    <row r="7" spans="1:19" x14ac:dyDescent="0.25">
      <c r="C7" s="1"/>
      <c r="D7" s="1"/>
      <c r="E7" s="1"/>
      <c r="F7" s="1"/>
      <c r="G7" s="1"/>
      <c r="H7" s="1"/>
    </row>
    <row r="8" spans="1:19" x14ac:dyDescent="0.25">
      <c r="C8" s="1"/>
      <c r="D8" s="1"/>
      <c r="E8" s="1"/>
      <c r="F8" s="1"/>
      <c r="G8" s="1"/>
      <c r="H8" s="1"/>
    </row>
    <row r="9" spans="1:19" x14ac:dyDescent="0.25">
      <c r="C9" s="1"/>
      <c r="D9" s="1"/>
      <c r="E9" s="1"/>
      <c r="F9" s="1"/>
      <c r="G9" s="1"/>
      <c r="H9" s="1"/>
    </row>
    <row r="10" spans="1:19" ht="33" customHeight="1" x14ac:dyDescent="0.25">
      <c r="A10" s="50" t="s">
        <v>7</v>
      </c>
      <c r="B10" s="50" t="s">
        <v>8</v>
      </c>
      <c r="C10" s="50" t="s">
        <v>9</v>
      </c>
      <c r="D10" s="50" t="s">
        <v>10</v>
      </c>
      <c r="E10" s="50" t="s">
        <v>11</v>
      </c>
      <c r="F10" s="50" t="s">
        <v>12</v>
      </c>
      <c r="G10" s="50" t="s">
        <v>13</v>
      </c>
      <c r="H10" s="50" t="s">
        <v>14</v>
      </c>
      <c r="I10" s="50" t="s">
        <v>15</v>
      </c>
      <c r="J10" s="50" t="s">
        <v>16</v>
      </c>
      <c r="K10" s="50" t="s">
        <v>17</v>
      </c>
      <c r="L10" s="50" t="s">
        <v>18</v>
      </c>
      <c r="M10" s="50" t="s">
        <v>19</v>
      </c>
      <c r="N10" s="50" t="s">
        <v>20</v>
      </c>
      <c r="O10" s="50" t="s">
        <v>63</v>
      </c>
      <c r="P10" s="50" t="s">
        <v>21</v>
      </c>
      <c r="S10">
        <v>13</v>
      </c>
    </row>
    <row r="11" spans="1:19" x14ac:dyDescent="0.25">
      <c r="A11" s="3" cm="1">
        <f t="array" ref="A11:A17">_xlfn.SEQUENCE(COUNTA(B12:B30)+1,1,1)</f>
        <v>1</v>
      </c>
      <c r="B11" s="4" t="s">
        <v>69</v>
      </c>
      <c r="C11" s="5">
        <v>3060</v>
      </c>
      <c r="D11" s="5">
        <v>2333</v>
      </c>
      <c r="E11" s="5">
        <f>IF(ISBLANK(D11),"",D11-30)</f>
        <v>2303</v>
      </c>
      <c r="F11" s="5" t="s">
        <v>47</v>
      </c>
      <c r="G11" s="5" t="s">
        <v>58</v>
      </c>
      <c r="H11" s="5" t="s">
        <v>59</v>
      </c>
      <c r="I11" s="5" t="s">
        <v>60</v>
      </c>
      <c r="J11" s="5" t="s">
        <v>48</v>
      </c>
      <c r="K11" s="5" t="s">
        <v>45</v>
      </c>
      <c r="L11" s="5" t="s">
        <v>42</v>
      </c>
      <c r="M11" s="5" t="s">
        <v>68</v>
      </c>
      <c r="N11" s="5">
        <v>1000</v>
      </c>
      <c r="O11" s="5" t="s">
        <v>65</v>
      </c>
      <c r="P11" s="6"/>
      <c r="S11">
        <v>15</v>
      </c>
    </row>
    <row r="12" spans="1:19" x14ac:dyDescent="0.25">
      <c r="A12" s="3">
        <v>2</v>
      </c>
      <c r="B12" s="6" t="s">
        <v>70</v>
      </c>
      <c r="C12" s="5">
        <v>3194</v>
      </c>
      <c r="D12" s="5">
        <v>2330</v>
      </c>
      <c r="E12" s="5">
        <f t="shared" ref="E12:E17" si="0">IF(ISBLANK(D12),"",D12-30)</f>
        <v>2300</v>
      </c>
      <c r="F12" s="5" t="s">
        <v>47</v>
      </c>
      <c r="G12" s="5" t="s">
        <v>58</v>
      </c>
      <c r="H12" s="5" t="s">
        <v>59</v>
      </c>
      <c r="I12" s="5" t="s">
        <v>60</v>
      </c>
      <c r="J12" s="5" t="s">
        <v>48</v>
      </c>
      <c r="K12" s="5" t="s">
        <v>45</v>
      </c>
      <c r="L12" s="5" t="s">
        <v>42</v>
      </c>
      <c r="M12" s="5" t="s">
        <v>68</v>
      </c>
      <c r="N12" s="5">
        <v>1000</v>
      </c>
      <c r="O12" s="5" t="s">
        <v>66</v>
      </c>
      <c r="P12" s="6"/>
      <c r="S12">
        <v>11</v>
      </c>
    </row>
    <row r="13" spans="1:19" x14ac:dyDescent="0.25">
      <c r="A13" s="3">
        <v>3</v>
      </c>
      <c r="B13" s="6" t="s">
        <v>71</v>
      </c>
      <c r="C13" s="5">
        <v>2692</v>
      </c>
      <c r="D13" s="5">
        <v>2330</v>
      </c>
      <c r="E13" s="5">
        <f t="shared" si="0"/>
        <v>2300</v>
      </c>
      <c r="F13" s="5" t="s">
        <v>47</v>
      </c>
      <c r="G13" s="5" t="s">
        <v>58</v>
      </c>
      <c r="H13" s="5" t="s">
        <v>59</v>
      </c>
      <c r="I13" s="5" t="s">
        <v>60</v>
      </c>
      <c r="J13" s="5" t="s">
        <v>48</v>
      </c>
      <c r="K13" s="5" t="s">
        <v>45</v>
      </c>
      <c r="L13" s="5" t="s">
        <v>42</v>
      </c>
      <c r="M13" s="5" t="s">
        <v>68</v>
      </c>
      <c r="N13" s="5">
        <v>1000</v>
      </c>
      <c r="O13" s="5" t="s">
        <v>67</v>
      </c>
      <c r="P13" s="6"/>
      <c r="S13">
        <v>14</v>
      </c>
    </row>
    <row r="14" spans="1:19" x14ac:dyDescent="0.25">
      <c r="A14" s="3">
        <v>4</v>
      </c>
      <c r="B14" s="6" t="s">
        <v>72</v>
      </c>
      <c r="C14" s="5">
        <v>3165</v>
      </c>
      <c r="D14" s="5">
        <v>2331</v>
      </c>
      <c r="E14" s="5">
        <f t="shared" si="0"/>
        <v>2301</v>
      </c>
      <c r="F14" s="5" t="s">
        <v>47</v>
      </c>
      <c r="G14" s="5" t="s">
        <v>58</v>
      </c>
      <c r="H14" s="5" t="s">
        <v>59</v>
      </c>
      <c r="I14" s="5" t="s">
        <v>64</v>
      </c>
      <c r="J14" s="5" t="s">
        <v>48</v>
      </c>
      <c r="K14" s="5" t="s">
        <v>45</v>
      </c>
      <c r="L14" s="5" t="s">
        <v>42</v>
      </c>
      <c r="M14" s="5" t="s">
        <v>68</v>
      </c>
      <c r="N14" s="5">
        <v>1000</v>
      </c>
      <c r="O14" s="5" t="s">
        <v>65</v>
      </c>
      <c r="P14" s="6"/>
      <c r="S14">
        <v>14</v>
      </c>
    </row>
    <row r="15" spans="1:19" x14ac:dyDescent="0.25">
      <c r="A15" s="3">
        <v>5</v>
      </c>
      <c r="B15" s="6" t="s">
        <v>73</v>
      </c>
      <c r="C15" s="5">
        <v>5428</v>
      </c>
      <c r="D15" s="5">
        <v>2329</v>
      </c>
      <c r="E15" s="5">
        <f t="shared" si="0"/>
        <v>2299</v>
      </c>
      <c r="F15" s="5" t="s">
        <v>47</v>
      </c>
      <c r="G15" s="5" t="s">
        <v>58</v>
      </c>
      <c r="H15" s="5" t="s">
        <v>59</v>
      </c>
      <c r="I15" s="5" t="s">
        <v>60</v>
      </c>
      <c r="J15" s="5" t="s">
        <v>48</v>
      </c>
      <c r="K15" s="5" t="s">
        <v>45</v>
      </c>
      <c r="L15" s="5" t="s">
        <v>42</v>
      </c>
      <c r="M15" s="5" t="s">
        <v>61</v>
      </c>
      <c r="N15" s="5">
        <v>1000</v>
      </c>
      <c r="O15" s="5" t="s">
        <v>66</v>
      </c>
      <c r="P15" s="6"/>
      <c r="S15">
        <v>8</v>
      </c>
    </row>
    <row r="16" spans="1:19" x14ac:dyDescent="0.25">
      <c r="A16" s="3">
        <v>6</v>
      </c>
      <c r="B16" s="6" t="s">
        <v>74</v>
      </c>
      <c r="C16" s="5">
        <v>3180</v>
      </c>
      <c r="D16" s="58">
        <v>2380</v>
      </c>
      <c r="E16" s="5">
        <f t="shared" si="0"/>
        <v>2350</v>
      </c>
      <c r="F16" s="5" t="s">
        <v>47</v>
      </c>
      <c r="G16" s="5" t="s">
        <v>58</v>
      </c>
      <c r="H16" s="5" t="s">
        <v>59</v>
      </c>
      <c r="I16" s="5" t="s">
        <v>60</v>
      </c>
      <c r="J16" s="5" t="s">
        <v>48</v>
      </c>
      <c r="K16" s="5" t="s">
        <v>45</v>
      </c>
      <c r="L16" s="5" t="s">
        <v>42</v>
      </c>
      <c r="M16" s="5" t="s">
        <v>61</v>
      </c>
      <c r="N16" s="5">
        <v>1000</v>
      </c>
      <c r="O16" s="5" t="s">
        <v>67</v>
      </c>
      <c r="P16" s="6"/>
      <c r="S16">
        <v>27</v>
      </c>
    </row>
    <row r="17" spans="1:19" x14ac:dyDescent="0.25">
      <c r="A17" s="3">
        <v>7</v>
      </c>
      <c r="B17" s="6" t="s">
        <v>75</v>
      </c>
      <c r="C17" s="5">
        <v>3377</v>
      </c>
      <c r="D17" s="5">
        <v>2380</v>
      </c>
      <c r="E17" s="5">
        <f t="shared" si="0"/>
        <v>2350</v>
      </c>
      <c r="F17" s="5" t="s">
        <v>47</v>
      </c>
      <c r="G17" s="5" t="s">
        <v>58</v>
      </c>
      <c r="H17" s="5" t="s">
        <v>59</v>
      </c>
      <c r="I17" s="5" t="s">
        <v>60</v>
      </c>
      <c r="J17" s="5" t="s">
        <v>48</v>
      </c>
      <c r="K17" s="5" t="s">
        <v>45</v>
      </c>
      <c r="L17" s="5" t="s">
        <v>42</v>
      </c>
      <c r="M17" s="5" t="s">
        <v>61</v>
      </c>
      <c r="N17" s="5">
        <v>1000</v>
      </c>
      <c r="O17" s="5" t="s">
        <v>65</v>
      </c>
      <c r="P17" s="6"/>
      <c r="S17">
        <v>15</v>
      </c>
    </row>
    <row r="18" spans="1:19" x14ac:dyDescent="0.25">
      <c r="A18" s="3"/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S18">
        <v>13</v>
      </c>
    </row>
    <row r="19" spans="1:19" x14ac:dyDescent="0.25">
      <c r="A19" s="3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S19">
        <v>2</v>
      </c>
    </row>
    <row r="20" spans="1:19" x14ac:dyDescent="0.25">
      <c r="A20" s="3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S20">
        <v>1</v>
      </c>
    </row>
    <row r="21" spans="1:19" x14ac:dyDescent="0.25">
      <c r="A21" s="3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S21">
        <v>17</v>
      </c>
    </row>
    <row r="22" spans="1:19" x14ac:dyDescent="0.25">
      <c r="A22" s="3"/>
      <c r="B22" s="4"/>
      <c r="C22" s="59"/>
      <c r="D22" s="5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  <c r="S22">
        <v>7</v>
      </c>
    </row>
    <row r="23" spans="1:19" x14ac:dyDescent="0.25">
      <c r="A23" s="3"/>
      <c r="B23" s="6"/>
      <c r="C23" s="59"/>
      <c r="D23" s="5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S23">
        <v>12</v>
      </c>
    </row>
    <row r="24" spans="1:19" x14ac:dyDescent="0.25">
      <c r="A24" s="3"/>
      <c r="B24" s="6"/>
      <c r="C24" s="59"/>
      <c r="D24" s="5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S24">
        <v>4</v>
      </c>
    </row>
    <row r="25" spans="1:19" x14ac:dyDescent="0.25">
      <c r="A25" s="3"/>
      <c r="B25" s="6"/>
      <c r="C25" s="59"/>
      <c r="D25" s="5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S25">
        <v>11</v>
      </c>
    </row>
    <row r="26" spans="1:19" x14ac:dyDescent="0.25">
      <c r="A26" s="3"/>
      <c r="B26" s="6"/>
      <c r="C26" s="59"/>
      <c r="D26" s="5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S26">
        <v>5</v>
      </c>
    </row>
    <row r="27" spans="1:19" x14ac:dyDescent="0.25">
      <c r="A27" s="3"/>
      <c r="B27" s="6"/>
      <c r="C27" s="59"/>
      <c r="D27" s="6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  <c r="S27">
        <v>26</v>
      </c>
    </row>
    <row r="28" spans="1:19" x14ac:dyDescent="0.25">
      <c r="A28" s="3"/>
      <c r="B28" s="6"/>
      <c r="C28" s="59"/>
      <c r="D28" s="5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  <c r="S28">
        <v>9</v>
      </c>
    </row>
    <row r="29" spans="1:19" x14ac:dyDescent="0.25">
      <c r="A29" s="3"/>
      <c r="B29" s="7"/>
      <c r="C29" s="59"/>
      <c r="D29" s="5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  <c r="S29">
        <v>1</v>
      </c>
    </row>
    <row r="30" spans="1:19" x14ac:dyDescent="0.25">
      <c r="A30" s="3"/>
      <c r="B30" s="6"/>
      <c r="C30" s="59"/>
      <c r="D30" s="5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  <c r="S30">
        <v>8</v>
      </c>
    </row>
    <row r="31" spans="1:19" x14ac:dyDescent="0.25">
      <c r="S31">
        <v>7</v>
      </c>
    </row>
    <row r="32" spans="1:19" x14ac:dyDescent="0.25">
      <c r="S32">
        <v>8</v>
      </c>
    </row>
    <row r="33" spans="19:19" x14ac:dyDescent="0.25">
      <c r="S33">
        <v>16</v>
      </c>
    </row>
    <row r="34" spans="19:19" x14ac:dyDescent="0.25">
      <c r="S34">
        <v>5</v>
      </c>
    </row>
    <row r="35" spans="19:19" x14ac:dyDescent="0.25">
      <c r="S35">
        <v>5</v>
      </c>
    </row>
    <row r="36" spans="19:19" x14ac:dyDescent="0.25">
      <c r="S36">
        <v>9</v>
      </c>
    </row>
    <row r="37" spans="19:19" x14ac:dyDescent="0.25">
      <c r="S37">
        <v>8</v>
      </c>
    </row>
  </sheetData>
  <mergeCells count="8">
    <mergeCell ref="C5:G5"/>
    <mergeCell ref="J5:L5"/>
    <mergeCell ref="C2:G2"/>
    <mergeCell ref="J2:L2"/>
    <mergeCell ref="C3:G3"/>
    <mergeCell ref="J3:L3"/>
    <mergeCell ref="C4:G4"/>
    <mergeCell ref="J4:L4"/>
  </mergeCells>
  <phoneticPr fontId="8" type="noConversion"/>
  <conditionalFormatting sqref="A11:P50">
    <cfRule type="expression" dxfId="0" priority="1">
      <formula>"$$=OR($H11&lt;&gt;$H$11, $I11&lt;&gt;$I$11)$$"</formula>
    </cfRule>
  </conditionalFormatting>
  <dataValidations count="8">
    <dataValidation type="list" allowBlank="1" showInputMessage="1" showErrorMessage="1" sqref="F11:F30" xr:uid="{65D4A134-4EE8-4D99-82D5-9A0AB32A4CD9}">
      <formula1>"S Fold,Wave Fold"</formula1>
    </dataValidation>
    <dataValidation type="list" allowBlank="1" showInputMessage="1" showErrorMessage="1" sqref="G11:G30" xr:uid="{7E4D91E1-940D-4F1B-9922-620C7D1A03C8}">
      <formula1>"No Hem,70 mm,80 mm"</formula1>
    </dataValidation>
    <dataValidation type="list" allowBlank="1" showInputMessage="1" showErrorMessage="1" sqref="J11:J30" xr:uid="{8EF68F58-B2C6-445A-AE03-BAB9EBBECB8C}">
      <formula1>"Wall, Ceiling, Other- See Notes"</formula1>
    </dataValidation>
    <dataValidation type="list" allowBlank="1" showInputMessage="1" showErrorMessage="1" sqref="L11:L30" xr:uid="{1FEF28EC-9861-4001-A753-252730F3E082}">
      <formula1>"White, Black, Anodised"</formula1>
    </dataValidation>
    <dataValidation type="list" allowBlank="1" showInputMessage="1" showErrorMessage="1" sqref="N11:N30" xr:uid="{09078483-D143-458B-8D2C-BF36053D9FBD}">
      <formula1>"500,750,1000,1250,1500,1750"</formula1>
    </dataValidation>
    <dataValidation type="list" allowBlank="1" showInputMessage="1" showErrorMessage="1" sqref="K11:K30" xr:uid="{66DAEDFD-A8D1-4B4D-A01D-6A33EDC4DC46}">
      <formula1>"Standard, Extended"</formula1>
    </dataValidation>
    <dataValidation type="list" allowBlank="1" showInputMessage="1" showErrorMessage="1" sqref="M11:M30" xr:uid="{B6F96B8A-99DD-4BB8-9AAB-4856486D0288}">
      <formula1>"Single Open,Centre Open"</formula1>
    </dataValidation>
    <dataValidation type="list" allowBlank="1" showInputMessage="1" showErrorMessage="1" sqref="O11:O30" xr:uid="{00F1FD7B-7780-4697-BB8C-0232C61C7543}">
      <formula1>"120 Fullness,140 Fullness,144 Fullness"</formula1>
    </dataValidation>
  </dataValidations>
  <pageMargins left="0.7" right="0.7" top="0.75" bottom="0.75" header="0.3" footer="0.3"/>
  <pageSetup paperSize="9" orientation="portrait" horizontalDpi="0" verticalDpi="0"/>
  <ignoredErrors>
    <ignoredError sqref="J4:J5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39D0-EC05-40BE-BAED-A2CBA251D68B}">
  <sheetPr codeName="Sheet2"/>
  <dimension ref="A2:T99"/>
  <sheetViews>
    <sheetView workbookViewId="0">
      <selection activeCell="M15" sqref="M15"/>
    </sheetView>
  </sheetViews>
  <sheetFormatPr defaultColWidth="8.7109375" defaultRowHeight="15" x14ac:dyDescent="0.25"/>
  <cols>
    <col min="2" max="2" width="21.7109375" customWidth="1"/>
    <col min="3" max="6" width="13.7109375" customWidth="1"/>
    <col min="7" max="10" width="17.140625" customWidth="1"/>
    <col min="11" max="11" width="22.140625" customWidth="1"/>
    <col min="12" max="13" width="17.7109375" customWidth="1"/>
    <col min="17" max="18" width="13.7109375" style="13" customWidth="1"/>
  </cols>
  <sheetData>
    <row r="2" spans="1:13" ht="31.15" customHeight="1" x14ac:dyDescent="0.25">
      <c r="A2" s="23" t="s">
        <v>7</v>
      </c>
      <c r="B2" s="24" t="s">
        <v>8</v>
      </c>
      <c r="C2" s="24" t="s">
        <v>32</v>
      </c>
      <c r="D2" s="24" t="s">
        <v>45</v>
      </c>
      <c r="E2" s="24" t="s">
        <v>46</v>
      </c>
      <c r="F2" s="24" t="s">
        <v>33</v>
      </c>
      <c r="G2" s="25" t="s">
        <v>54</v>
      </c>
      <c r="H2" s="25" t="s">
        <v>53</v>
      </c>
      <c r="I2" s="25" t="s">
        <v>52</v>
      </c>
      <c r="J2" s="25" t="s">
        <v>57</v>
      </c>
      <c r="K2" s="24" t="s">
        <v>14</v>
      </c>
      <c r="M2" s="29"/>
    </row>
    <row r="3" spans="1:13" ht="16.899999999999999" customHeight="1" x14ac:dyDescent="0.25">
      <c r="A3" s="21">
        <v>1</v>
      </c>
      <c r="B3" s="6" t="str">
        <f>IF('Order Form'!B11=0,"",'Order Form'!B11)</f>
        <v xml:space="preserve">B1    </v>
      </c>
      <c r="C3" s="6">
        <f>'Order Form'!C11</f>
        <v>3060</v>
      </c>
      <c r="D3" s="6">
        <f>IF('Order Form'!K11="Standard",(IFERROR(VLOOKUP($C3,$S$43:$T$52,2),"")),"")</f>
        <v>5</v>
      </c>
      <c r="E3" s="6" t="str">
        <f>IF('Order Form'!K11="Extended",(IFERROR(VLOOKUP($C3,$S$43:$T$52,2),"")),"")</f>
        <v/>
      </c>
      <c r="F3" s="6">
        <f>IF(ISBLANK('Order Form'!$M11),"",IF('Order Form'!$M11="Centre Open",2,1))</f>
        <v>2</v>
      </c>
      <c r="G3" s="22" t="str">
        <f>IF('Order Form'!$M11="Single Open",VLOOKUP(Table3[[#This Row],[width]],'VLOOK Hooks'!$C$3:$F$539,4,TRUE),"")</f>
        <v/>
      </c>
      <c r="H3" s="22">
        <f>IF('Order Form'!$M11="Centre Open",VLOOKUP((Table3[[#This Row],[width]]/2),'VLOOK Hooks'!$C$3:$F$539,4,TRUE),"")</f>
        <v>30</v>
      </c>
      <c r="I3" s="22">
        <f>IF('Order Form'!$M11="Centre Open",VLOOKUP((Table3[[#This Row],[width]]/2),'VLOOK Hooks'!$C$3:$F$539,4,TRUE),"")</f>
        <v>30</v>
      </c>
      <c r="J3" s="22">
        <f>SUM(Table3[[#This Row],[Single hooks]:[Right Side Hooks]])</f>
        <v>60</v>
      </c>
      <c r="K3" s="22">
        <f>IF('Order Form'!$M11="Single Open",((Table3[[#This Row],[Single hooks]]*120)+140),IF('Order Form'!$M11="Centre Open",(((Table3[[#This Row],[Left Side Hook]]+Table3[[#This Row],[Right Side Hooks]])*120)+280),""))</f>
        <v>7480</v>
      </c>
    </row>
    <row r="4" spans="1:13" ht="16.899999999999999" customHeight="1" x14ac:dyDescent="0.25">
      <c r="A4" s="21">
        <v>2</v>
      </c>
      <c r="B4" s="6" t="str">
        <f>IF('Order Form'!B12=0,"",'Order Form'!B12)</f>
        <v xml:space="preserve">B2    </v>
      </c>
      <c r="C4" s="6">
        <f>'Order Form'!C12</f>
        <v>3194</v>
      </c>
      <c r="D4" s="6">
        <f>IF('Order Form'!K12="Standard",(IFERROR(VLOOKUP($C4,$S$43:$T$52,2),"")),"")</f>
        <v>5</v>
      </c>
      <c r="E4" s="6" t="str">
        <f>IF('Order Form'!K12="Extended",(IFERROR(VLOOKUP($C4,$S$43:$T$52,2),"")),"")</f>
        <v/>
      </c>
      <c r="F4" s="6">
        <f>IF(ISBLANK('Order Form'!$M12),"",IF('Order Form'!$M12="Centre Open",2,1))</f>
        <v>2</v>
      </c>
      <c r="G4" s="22" t="str">
        <f>IF('Order Form'!$M12="Single Open",VLOOKUP(Table3[[#This Row],[width]],'VLOOK Hooks'!$C$3:$F$539,4,TRUE),"")</f>
        <v/>
      </c>
      <c r="H4" s="22">
        <f>IF('Order Form'!$M12="Centre Open",VLOOKUP((Table3[[#This Row],[width]]/2),'VLOOK Hooks'!$C$3:$F$539,4,TRUE),"")</f>
        <v>30</v>
      </c>
      <c r="I4" s="22">
        <f>IF('Order Form'!$M12="Centre Open",VLOOKUP((Table3[[#This Row],[width]]/2),'VLOOK Hooks'!$C$3:$F$539,4,TRUE),"")</f>
        <v>30</v>
      </c>
      <c r="J4" s="22">
        <f>SUM(Table3[[#This Row],[Single hooks]:[Right Side Hooks]])</f>
        <v>60</v>
      </c>
      <c r="K4" s="22">
        <f>IF('Order Form'!$M12="Single Open",((Table3[[#This Row],[Single hooks]]*120)+140),IF('Order Form'!$M12="Centre Open",(((Table3[[#This Row],[Left Side Hook]]+Table3[[#This Row],[Right Side Hooks]])*120)+280),""))</f>
        <v>7480</v>
      </c>
    </row>
    <row r="5" spans="1:13" ht="16.899999999999999" customHeight="1" x14ac:dyDescent="0.25">
      <c r="A5" s="21">
        <v>3</v>
      </c>
      <c r="B5" s="6" t="str">
        <f>IF('Order Form'!B13=0,"",'Order Form'!B13)</f>
        <v xml:space="preserve">B3    </v>
      </c>
      <c r="C5" s="6">
        <f>'Order Form'!C13</f>
        <v>2692</v>
      </c>
      <c r="D5" s="6">
        <f>IF('Order Form'!K13="Standard",(IFERROR(VLOOKUP($C5,$S$43:$T$52,2),"")),"")</f>
        <v>4</v>
      </c>
      <c r="E5" s="6" t="str">
        <f>IF('Order Form'!K13="Extended",(IFERROR(VLOOKUP($C5,$S$43:$T$52,2),"")),"")</f>
        <v/>
      </c>
      <c r="F5" s="6">
        <f>IF(ISBLANK('Order Form'!$M13),"",IF('Order Form'!$M13="Centre Open",2,1))</f>
        <v>2</v>
      </c>
      <c r="G5" s="22" t="str">
        <f>IF('Order Form'!$M13="Single Open",VLOOKUP(Table3[[#This Row],[width]],'VLOOK Hooks'!$C$3:$F$539,4,TRUE),"")</f>
        <v/>
      </c>
      <c r="H5" s="22">
        <f>IF('Order Form'!$M13="Centre Open",VLOOKUP((Table3[[#This Row],[width]]/2),'VLOOK Hooks'!$C$3:$F$539,4,TRUE),"")</f>
        <v>26</v>
      </c>
      <c r="I5" s="22">
        <f>IF('Order Form'!$M13="Centre Open",VLOOKUP((Table3[[#This Row],[width]]/2),'VLOOK Hooks'!$C$3:$F$539,4,TRUE),"")</f>
        <v>26</v>
      </c>
      <c r="J5" s="22">
        <f>SUM(Table3[[#This Row],[Single hooks]:[Right Side Hooks]])</f>
        <v>52</v>
      </c>
      <c r="K5" s="22">
        <f>IF('Order Form'!$M13="Single Open",((Table3[[#This Row],[Single hooks]]*120)+140),IF('Order Form'!$M13="Centre Open",(((Table3[[#This Row],[Left Side Hook]]+Table3[[#This Row],[Right Side Hooks]])*120)+280),""))</f>
        <v>6520</v>
      </c>
      <c r="M5" s="28"/>
    </row>
    <row r="6" spans="1:13" ht="16.899999999999999" customHeight="1" x14ac:dyDescent="0.25">
      <c r="A6" s="21">
        <v>4</v>
      </c>
      <c r="B6" s="6" t="str">
        <f>IF('Order Form'!B14=0,"",'Order Form'!B14)</f>
        <v>Master</v>
      </c>
      <c r="C6" s="6">
        <f>'Order Form'!C14</f>
        <v>3165</v>
      </c>
      <c r="D6" s="6">
        <f>IF('Order Form'!K14="Standard",(IFERROR(VLOOKUP($C6,$S$43:$T$52,2),"")),"")</f>
        <v>5</v>
      </c>
      <c r="E6" s="6" t="str">
        <f>IF('Order Form'!K14="Extended",(IFERROR(VLOOKUP($C6,$S$43:$T$52,2),"")),"")</f>
        <v/>
      </c>
      <c r="F6" s="6">
        <f>IF(ISBLANK('Order Form'!$M14),"",IF('Order Form'!$M14="Centre Open",2,1))</f>
        <v>2</v>
      </c>
      <c r="G6" s="22" t="str">
        <f>IF('Order Form'!$M14="Single Open",VLOOKUP(Table3[[#This Row],[width]],'VLOOK Hooks'!$C$3:$F$539,4,TRUE),"")</f>
        <v/>
      </c>
      <c r="H6" s="22">
        <f>IF('Order Form'!$M14="Centre Open",VLOOKUP((Table3[[#This Row],[width]]/2),'VLOOK Hooks'!$C$3:$F$539,4,TRUE),"")</f>
        <v>30</v>
      </c>
      <c r="I6" s="22">
        <f>IF('Order Form'!$M14="Centre Open",VLOOKUP((Table3[[#This Row],[width]]/2),'VLOOK Hooks'!$C$3:$F$539,4,TRUE),"")</f>
        <v>30</v>
      </c>
      <c r="J6" s="22">
        <f>SUM(Table3[[#This Row],[Single hooks]:[Right Side Hooks]])</f>
        <v>60</v>
      </c>
      <c r="K6" s="22">
        <f>IF('Order Form'!$M14="Single Open",((Table3[[#This Row],[Single hooks]]*120)+140),IF('Order Form'!$M14="Centre Open",(((Table3[[#This Row],[Left Side Hook]]+Table3[[#This Row],[Right Side Hooks]])*120)+280),""))</f>
        <v>7480</v>
      </c>
      <c r="M6" s="17"/>
    </row>
    <row r="7" spans="1:13" ht="16.899999999999999" customHeight="1" x14ac:dyDescent="0.25">
      <c r="A7" s="21">
        <v>5</v>
      </c>
      <c r="B7" s="6" t="str">
        <f>IF('Order Form'!B15=0,"",'Order Form'!B15)</f>
        <v xml:space="preserve">L1    </v>
      </c>
      <c r="C7" s="6">
        <f>'Order Form'!C15</f>
        <v>5428</v>
      </c>
      <c r="D7" s="6">
        <f>IF('Order Form'!K15="Standard",(IFERROR(VLOOKUP($C7,$S$43:$T$52,2),"")),"")</f>
        <v>7</v>
      </c>
      <c r="E7" s="6" t="str">
        <f>IF('Order Form'!K15="Extended",(IFERROR(VLOOKUP($C7,$S$43:$T$52,2),"")),"")</f>
        <v/>
      </c>
      <c r="F7" s="6">
        <f>IF(ISBLANK('Order Form'!$M15),"",IF('Order Form'!$M15="Centre Open",2,1))</f>
        <v>1</v>
      </c>
      <c r="G7" s="22">
        <f>IF('Order Form'!$M15="Single Open",VLOOKUP(Table3[[#This Row],[width]],'VLOOK Hooks'!$C$3:$F$539,4,TRUE),"")</f>
        <v>102</v>
      </c>
      <c r="H7" s="22" t="str">
        <f>IF('Order Form'!$M15="Centre Open",VLOOKUP((Table3[[#This Row],[width]]/2),'VLOOK Hooks'!$C$3:$F$539,4,TRUE),"")</f>
        <v/>
      </c>
      <c r="I7" s="22" t="str">
        <f>IF('Order Form'!$M15="Centre Open",VLOOKUP((Table3[[#This Row],[width]]/2),'VLOOK Hooks'!$C$3:$F$539,4,TRUE),"")</f>
        <v/>
      </c>
      <c r="J7" s="22">
        <f>SUM(Table3[[#This Row],[Single hooks]:[Right Side Hooks]])</f>
        <v>102</v>
      </c>
      <c r="K7" s="22">
        <f>IF('Order Form'!$M15="Single Open",((Table3[[#This Row],[Single hooks]]*120)+140),IF('Order Form'!$M15="Centre Open",(((Table3[[#This Row],[Left Side Hook]]+Table3[[#This Row],[Right Side Hooks]])*120)+280),""))</f>
        <v>12380</v>
      </c>
    </row>
    <row r="8" spans="1:13" ht="16.899999999999999" customHeight="1" x14ac:dyDescent="0.25">
      <c r="A8" s="21">
        <v>6</v>
      </c>
      <c r="B8" s="6" t="str">
        <f>IF('Order Form'!B16=0,"",'Order Form'!B16)</f>
        <v xml:space="preserve">Tv L  </v>
      </c>
      <c r="C8" s="6">
        <f>'Order Form'!C16</f>
        <v>3180</v>
      </c>
      <c r="D8" s="6">
        <f>IF('Order Form'!K16="Standard",(IFERROR(VLOOKUP($C8,$S$43:$T$52,2),"")),"")</f>
        <v>5</v>
      </c>
      <c r="E8" s="6" t="str">
        <f>IF('Order Form'!K16="Extended",(IFERROR(VLOOKUP($C8,$S$43:$T$52,2),"")),"")</f>
        <v/>
      </c>
      <c r="F8" s="6">
        <f>IF(ISBLANK('Order Form'!$M16),"",IF('Order Form'!$M16="Centre Open",2,1))</f>
        <v>1</v>
      </c>
      <c r="G8" s="22">
        <f>IF('Order Form'!$M16="Single Open",VLOOKUP(Table3[[#This Row],[width]],'VLOOK Hooks'!$C$3:$F$539,4,TRUE),"")</f>
        <v>60</v>
      </c>
      <c r="H8" s="22" t="str">
        <f>IF('Order Form'!$M16="Centre Open",VLOOKUP((Table3[[#This Row],[width]]/2),'VLOOK Hooks'!$C$3:$F$539,4,TRUE),"")</f>
        <v/>
      </c>
      <c r="I8" s="22" t="str">
        <f>IF('Order Form'!$M16="Centre Open",VLOOKUP((Table3[[#This Row],[width]]/2),'VLOOK Hooks'!$C$3:$F$539,4,TRUE),"")</f>
        <v/>
      </c>
      <c r="J8" s="22">
        <f>SUM(Table3[[#This Row],[Single hooks]:[Right Side Hooks]])</f>
        <v>60</v>
      </c>
      <c r="K8" s="22">
        <f>IF('Order Form'!$M16="Single Open",((Table3[[#This Row],[Single hooks]]*120)+140),IF('Order Form'!$M16="Centre Open",(((Table3[[#This Row],[Left Side Hook]]+Table3[[#This Row],[Right Side Hooks]])*120)+280),""))</f>
        <v>7340</v>
      </c>
    </row>
    <row r="9" spans="1:13" ht="16.899999999999999" customHeight="1" x14ac:dyDescent="0.25">
      <c r="A9" s="21">
        <v>7</v>
      </c>
      <c r="B9" s="6" t="str">
        <f>IF('Order Form'!B17=0,"",'Order Form'!B17)</f>
        <v xml:space="preserve">Tv R  </v>
      </c>
      <c r="C9" s="6">
        <f>'Order Form'!C17</f>
        <v>3377</v>
      </c>
      <c r="D9" s="6">
        <f>IF('Order Form'!K17="Standard",(IFERROR(VLOOKUP($C9,$S$43:$T$52,2),"")),"")</f>
        <v>5</v>
      </c>
      <c r="E9" s="6" t="str">
        <f>IF('Order Form'!K17="Extended",(IFERROR(VLOOKUP($C9,$S$43:$T$52,2),"")),"")</f>
        <v/>
      </c>
      <c r="F9" s="6">
        <f>IF(ISBLANK('Order Form'!$M17),"",IF('Order Form'!$M17="Centre Open",2,1))</f>
        <v>1</v>
      </c>
      <c r="G9" s="22">
        <f>IF('Order Form'!$M17="Single Open",VLOOKUP(Table3[[#This Row],[width]],'VLOOK Hooks'!$C$3:$F$539,4,TRUE),"")</f>
        <v>64</v>
      </c>
      <c r="H9" s="22" t="str">
        <f>IF('Order Form'!$M17="Centre Open",VLOOKUP((Table3[[#This Row],[width]]/2),'VLOOK Hooks'!$C$3:$F$539,4,TRUE),"")</f>
        <v/>
      </c>
      <c r="I9" s="22" t="str">
        <f>IF('Order Form'!$M17="Centre Open",VLOOKUP((Table3[[#This Row],[width]]/2),'VLOOK Hooks'!$C$3:$F$539,4,TRUE),"")</f>
        <v/>
      </c>
      <c r="J9" s="22">
        <f>SUM(Table3[[#This Row],[Single hooks]:[Right Side Hooks]])</f>
        <v>64</v>
      </c>
      <c r="K9" s="22">
        <f>IF('Order Form'!$M17="Single Open",((Table3[[#This Row],[Single hooks]]*120)+140),IF('Order Form'!$M17="Centre Open",(((Table3[[#This Row],[Left Side Hook]]+Table3[[#This Row],[Right Side Hooks]])*120)+280),""))</f>
        <v>7820</v>
      </c>
    </row>
    <row r="10" spans="1:13" ht="16.899999999999999" customHeight="1" x14ac:dyDescent="0.25">
      <c r="A10" s="21">
        <v>8</v>
      </c>
      <c r="B10" s="6" t="str">
        <f>IF('Order Form'!B18=0,"",'Order Form'!B18)</f>
        <v/>
      </c>
      <c r="C10" s="6">
        <f>'Order Form'!C18</f>
        <v>0</v>
      </c>
      <c r="D10" s="6" t="str">
        <f>IF('Order Form'!K18="Standard",(IFERROR(VLOOKUP($C10,$S$43:$T$52,2),"")),"")</f>
        <v/>
      </c>
      <c r="E10" s="6" t="str">
        <f>IF('Order Form'!K18="Extended",(IFERROR(VLOOKUP($C10,$S$43:$T$52,2),"")),"")</f>
        <v/>
      </c>
      <c r="F10" s="6" t="str">
        <f>IF(ISBLANK('Order Form'!$M18),"",IF('Order Form'!$M18="Centre Open",2,1))</f>
        <v/>
      </c>
      <c r="G10" s="22" t="str">
        <f>IF('Order Form'!$M18="Single Open",VLOOKUP(Table3[[#This Row],[width]],'VLOOK Hooks'!$C$3:$F$539,4,TRUE),"")</f>
        <v/>
      </c>
      <c r="H10" s="22" t="str">
        <f>IF('Order Form'!$M18="Centre Open",VLOOKUP((Table3[[#This Row],[width]]/2),'VLOOK Hooks'!$C$3:$F$539,4,TRUE),"")</f>
        <v/>
      </c>
      <c r="I10" s="22" t="str">
        <f>IF('Order Form'!$M18="Centre Open",VLOOKUP((Table3[[#This Row],[width]]/2),'VLOOK Hooks'!$C$3:$F$539,4,TRUE),"")</f>
        <v/>
      </c>
      <c r="J10" s="22">
        <f>SUM(Table3[[#This Row],[Single hooks]:[Right Side Hooks]])</f>
        <v>0</v>
      </c>
      <c r="K10" s="22" t="str">
        <f>IF('Order Form'!$M18="Single Open",((Table3[[#This Row],[Single hooks]]*120)+140),IF('Order Form'!$M18="Centre Open",(((Table3[[#This Row],[Left Side Hook]]+Table3[[#This Row],[Right Side Hooks]])*120)+280),""))</f>
        <v/>
      </c>
      <c r="M10" s="17"/>
    </row>
    <row r="11" spans="1:13" ht="16.899999999999999" customHeight="1" x14ac:dyDescent="0.25">
      <c r="A11" s="21">
        <v>9</v>
      </c>
      <c r="B11" s="6" t="str">
        <f>IF('Order Form'!B19=0,"",'Order Form'!B19)</f>
        <v/>
      </c>
      <c r="C11" s="6">
        <f>'Order Form'!C19</f>
        <v>0</v>
      </c>
      <c r="D11" s="6" t="str">
        <f>IF('Order Form'!K19="Standard",(IFERROR(VLOOKUP($C11,$S$43:$T$52,2),"")),"")</f>
        <v/>
      </c>
      <c r="E11" s="6" t="str">
        <f>IF('Order Form'!K19="Extended",(IFERROR(VLOOKUP($C11,$S$43:$T$52,2),"")),"")</f>
        <v/>
      </c>
      <c r="F11" s="6" t="str">
        <f>IF(ISBLANK('Order Form'!$M19),"",IF('Order Form'!$M19="Centre Open",2,1))</f>
        <v/>
      </c>
      <c r="G11" s="22" t="str">
        <f>IF('Order Form'!$M19="Single Open",VLOOKUP(Table3[[#This Row],[width]],'VLOOK Hooks'!$C$3:$F$539,4,TRUE),"")</f>
        <v/>
      </c>
      <c r="H11" s="22" t="str">
        <f>IF('Order Form'!$M19="Centre Open",VLOOKUP((Table3[[#This Row],[width]]/2),'VLOOK Hooks'!$C$3:$F$539,4,TRUE),"")</f>
        <v/>
      </c>
      <c r="I11" s="22" t="str">
        <f>IF('Order Form'!$M19="Centre Open",VLOOKUP((Table3[[#This Row],[width]]/2),'VLOOK Hooks'!$C$3:$F$539,4,TRUE),"")</f>
        <v/>
      </c>
      <c r="J11" s="22">
        <f>SUM(Table3[[#This Row],[Single hooks]:[Right Side Hooks]])</f>
        <v>0</v>
      </c>
      <c r="K11" s="22" t="str">
        <f>IF('Order Form'!$M19="Single Open",((Table3[[#This Row],[Single hooks]]*120)+140),IF('Order Form'!$M19="Centre Open",(((Table3[[#This Row],[Left Side Hook]]+Table3[[#This Row],[Right Side Hooks]])*120)+280),""))</f>
        <v/>
      </c>
      <c r="M11" s="18"/>
    </row>
    <row r="12" spans="1:13" ht="16.899999999999999" customHeight="1" x14ac:dyDescent="0.25">
      <c r="A12" s="21">
        <v>10</v>
      </c>
      <c r="B12" s="6" t="str">
        <f>IF('Order Form'!B20=0,"",'Order Form'!B20)</f>
        <v/>
      </c>
      <c r="C12" s="6">
        <f>'Order Form'!C20</f>
        <v>0</v>
      </c>
      <c r="D12" s="6" t="str">
        <f>IF('Order Form'!K20="Standard",(IFERROR(VLOOKUP($C12,$S$43:$T$52,2),"")),"")</f>
        <v/>
      </c>
      <c r="E12" s="6" t="str">
        <f>IF('Order Form'!K20="Extended",(IFERROR(VLOOKUP($C12,$S$43:$T$52,2),"")),"")</f>
        <v/>
      </c>
      <c r="F12" s="6" t="str">
        <f>IF(ISBLANK('Order Form'!$M20),"",IF('Order Form'!$M20="Centre Open",2,1))</f>
        <v/>
      </c>
      <c r="G12" s="22" t="str">
        <f>IF('Order Form'!$M20="Single Open",VLOOKUP(Table3[[#This Row],[width]],'VLOOK Hooks'!$C$3:$F$539,4,TRUE),"")</f>
        <v/>
      </c>
      <c r="H12" s="22" t="str">
        <f>IF('Order Form'!$M20="Centre Open",VLOOKUP((Table3[[#This Row],[width]]/2),'VLOOK Hooks'!$C$3:$F$539,4,TRUE),"")</f>
        <v/>
      </c>
      <c r="I12" s="22" t="str">
        <f>IF('Order Form'!$M20="Centre Open",VLOOKUP((Table3[[#This Row],[width]]/2),'VLOOK Hooks'!$C$3:$F$539,4,TRUE),"")</f>
        <v/>
      </c>
      <c r="J12" s="22">
        <f>SUM(Table3[[#This Row],[Single hooks]:[Right Side Hooks]])</f>
        <v>0</v>
      </c>
      <c r="K12" s="22" t="str">
        <f>IF('Order Form'!$M20="Single Open",((Table3[[#This Row],[Single hooks]]*120)+140),IF('Order Form'!$M20="Centre Open",(((Table3[[#This Row],[Left Side Hook]]+Table3[[#This Row],[Right Side Hooks]])*120)+280),""))</f>
        <v/>
      </c>
    </row>
    <row r="13" spans="1:13" ht="16.899999999999999" customHeight="1" x14ac:dyDescent="0.25">
      <c r="A13" s="21">
        <v>11</v>
      </c>
      <c r="B13" s="6" t="str">
        <f>IF('Order Form'!B21=0,"",'Order Form'!B21)</f>
        <v/>
      </c>
      <c r="C13" s="6">
        <f>'Order Form'!C21</f>
        <v>0</v>
      </c>
      <c r="D13" s="6" t="str">
        <f>IF('Order Form'!K21="Standard",(IFERROR(VLOOKUP($C13,$S$43:$T$52,2),"")),"")</f>
        <v/>
      </c>
      <c r="E13" s="6" t="str">
        <f>IF('Order Form'!K21="Extended",(IFERROR(VLOOKUP($C13,$S$43:$T$52,2),"")),"")</f>
        <v/>
      </c>
      <c r="F13" s="6" t="str">
        <f>IF(ISBLANK('Order Form'!$M21),"",IF('Order Form'!$M21="Centre Open",2,1))</f>
        <v/>
      </c>
      <c r="G13" s="22" t="str">
        <f>IF('Order Form'!$M21="Single Open",VLOOKUP(Table3[[#This Row],[width]],'VLOOK Hooks'!$C$3:$F$539,4,TRUE),"")</f>
        <v/>
      </c>
      <c r="H13" s="22" t="str">
        <f>IF('Order Form'!$M21="Centre Open",VLOOKUP((Table3[[#This Row],[width]]/2),'VLOOK Hooks'!$C$3:$F$539,4,TRUE),"")</f>
        <v/>
      </c>
      <c r="I13" s="22" t="str">
        <f>IF('Order Form'!$M21="Centre Open",VLOOKUP((Table3[[#This Row],[width]]/2),'VLOOK Hooks'!$C$3:$F$539,4,TRUE),"")</f>
        <v/>
      </c>
      <c r="J13" s="22">
        <f>SUM(Table3[[#This Row],[Single hooks]:[Right Side Hooks]])</f>
        <v>0</v>
      </c>
      <c r="K13" s="22" t="str">
        <f>IF('Order Form'!$M21="Single Open",((Table3[[#This Row],[Single hooks]]*120)+140),IF('Order Form'!$M21="Centre Open",(((Table3[[#This Row],[Left Side Hook]]+Table3[[#This Row],[Right Side Hooks]])*120)+280),""))</f>
        <v/>
      </c>
      <c r="L13" s="17"/>
    </row>
    <row r="14" spans="1:13" ht="16.899999999999999" customHeight="1" x14ac:dyDescent="0.25">
      <c r="A14" s="21">
        <v>12</v>
      </c>
      <c r="B14" s="6" t="str">
        <f>IF('Order Form'!B22=0,"",'Order Form'!B22)</f>
        <v/>
      </c>
      <c r="C14" s="61">
        <f>'Order Form'!C22</f>
        <v>0</v>
      </c>
      <c r="D14" s="6" t="str">
        <f>IF('Order Form'!K22="Standard",(IFERROR(VLOOKUP($C14,$S$43:$T$52,2),"")),"")</f>
        <v/>
      </c>
      <c r="E14" s="6" t="str">
        <f>IF('Order Form'!K22="Extended",(IFERROR(VLOOKUP($C14,$S$43:$T$52,2),"")),"")</f>
        <v/>
      </c>
      <c r="F14" s="6" t="str">
        <f>IF(ISBLANK('Order Form'!$M22),"",IF('Order Form'!$M22="Centre Open",2,1))</f>
        <v/>
      </c>
      <c r="G14" s="22" t="str">
        <f>IF('Order Form'!$M22="Single Open",VLOOKUP(Table3[[#This Row],[width]],'VLOOK Hooks'!$C$3:$F$539,4,TRUE),"")</f>
        <v/>
      </c>
      <c r="H14" s="22" t="str">
        <f>IF('Order Form'!$M22="Centre Open",VLOOKUP((Table3[[#This Row],[width]]/2),'VLOOK Hooks'!$C$3:$F$539,4,TRUE),"")</f>
        <v/>
      </c>
      <c r="I14" s="22" t="str">
        <f>IF('Order Form'!$M22="Centre Open",VLOOKUP((Table3[[#This Row],[width]]/2),'VLOOK Hooks'!$C$3:$F$539,4,TRUE),"")</f>
        <v/>
      </c>
      <c r="J14" s="22">
        <f>SUM(Table3[[#This Row],[Single hooks]:[Right Side Hooks]])</f>
        <v>0</v>
      </c>
      <c r="K14" s="22" t="str">
        <f>IF('Order Form'!$M22="Single Open",((Table3[[#This Row],[Single hooks]]*120)+140),IF('Order Form'!$M22="Centre Open",(((Table3[[#This Row],[Left Side Hook]]+Table3[[#This Row],[Right Side Hooks]])*120)+280),""))</f>
        <v/>
      </c>
      <c r="L14" s="17"/>
      <c r="M14" t="s">
        <v>55</v>
      </c>
    </row>
    <row r="15" spans="1:13" ht="16.899999999999999" customHeight="1" x14ac:dyDescent="0.25">
      <c r="A15" s="21">
        <v>13</v>
      </c>
      <c r="B15" s="6" t="str">
        <f>IF('Order Form'!B23=0,"",'Order Form'!B23)</f>
        <v/>
      </c>
      <c r="C15" s="61">
        <f>'Order Form'!C23</f>
        <v>0</v>
      </c>
      <c r="D15" s="6" t="str">
        <f>IF('Order Form'!K23="Standard",(IFERROR(VLOOKUP($C15,$S$43:$T$52,2),"")),"")</f>
        <v/>
      </c>
      <c r="E15" s="6" t="str">
        <f>IF('Order Form'!K23="Extended",(IFERROR(VLOOKUP($C15,$S$43:$T$52,2),"")),"")</f>
        <v/>
      </c>
      <c r="F15" s="6" t="str">
        <f>IF(ISBLANK('Order Form'!$M23),"",IF('Order Form'!$M23="Centre Open",2,1))</f>
        <v/>
      </c>
      <c r="G15" s="22" t="str">
        <f>IF('Order Form'!$M23="Single Open",VLOOKUP(Table3[[#This Row],[width]],'VLOOK Hooks'!$C$3:$F$539,4,TRUE),"")</f>
        <v/>
      </c>
      <c r="H15" s="22" t="str">
        <f>IF('Order Form'!$M23="Centre Open",VLOOKUP((Table3[[#This Row],[width]]/2),'VLOOK Hooks'!$C$3:$F$539,4,TRUE),"")</f>
        <v/>
      </c>
      <c r="I15" s="22" t="str">
        <f>IF('Order Form'!$M23="Centre Open",VLOOKUP((Table3[[#This Row],[width]]/2),'VLOOK Hooks'!$C$3:$F$539,4,TRUE),"")</f>
        <v/>
      </c>
      <c r="J15" s="22">
        <f>SUM(Table3[[#This Row],[Single hooks]:[Right Side Hooks]])</f>
        <v>0</v>
      </c>
      <c r="K15" s="22" t="str">
        <f>IF('Order Form'!$M23="Single Open",((Table3[[#This Row],[Single hooks]]*120)+140),IF('Order Form'!$M23="Centre Open",(((Table3[[#This Row],[Left Side Hook]]+Table3[[#This Row],[Right Side Hooks]])*120)+280),""))</f>
        <v/>
      </c>
      <c r="L15" s="17"/>
    </row>
    <row r="16" spans="1:13" ht="16.899999999999999" customHeight="1" x14ac:dyDescent="0.25">
      <c r="A16" s="21">
        <v>14</v>
      </c>
      <c r="B16" s="6" t="str">
        <f>IF('Order Form'!B24=0,"",'Order Form'!B24)</f>
        <v/>
      </c>
      <c r="C16" s="61">
        <f>'Order Form'!C24</f>
        <v>0</v>
      </c>
      <c r="D16" s="6" t="str">
        <f>IF('Order Form'!K24="Standard",(IFERROR(VLOOKUP($C16,$S$43:$T$52,2),"")),"")</f>
        <v/>
      </c>
      <c r="E16" s="6" t="str">
        <f>IF('Order Form'!K24="Extended",(IFERROR(VLOOKUP($C16,$S$43:$T$52,2),"")),"")</f>
        <v/>
      </c>
      <c r="F16" s="6" t="str">
        <f>IF(ISBLANK('Order Form'!$M24),"",IF('Order Form'!$M24="Centre Open",2,1))</f>
        <v/>
      </c>
      <c r="G16" s="22" t="str">
        <f>IF('Order Form'!$M24="Single Open",VLOOKUP(Table3[[#This Row],[width]],'VLOOK Hooks'!$C$3:$F$539,4,TRUE),"")</f>
        <v/>
      </c>
      <c r="H16" s="22" t="str">
        <f>IF('Order Form'!$M24="Centre Open",VLOOKUP((Table3[[#This Row],[width]]/2),'VLOOK Hooks'!$C$3:$F$539,4,TRUE),"")</f>
        <v/>
      </c>
      <c r="I16" s="22" t="str">
        <f>IF('Order Form'!$M24="Centre Open",VLOOKUP((Table3[[#This Row],[width]]/2),'VLOOK Hooks'!$C$3:$F$539,4,TRUE),"")</f>
        <v/>
      </c>
      <c r="J16" s="22">
        <f>SUM(Table3[[#This Row],[Single hooks]:[Right Side Hooks]])</f>
        <v>0</v>
      </c>
      <c r="K16" s="22" t="str">
        <f>IF('Order Form'!$M24="Single Open",((Table3[[#This Row],[Single hooks]]*120)+140),IF('Order Form'!$M24="Centre Open",(((Table3[[#This Row],[Left Side Hook]]+Table3[[#This Row],[Right Side Hooks]])*120)+280),""))</f>
        <v/>
      </c>
      <c r="L16" s="17"/>
    </row>
    <row r="17" spans="1:12" ht="16.899999999999999" customHeight="1" x14ac:dyDescent="0.25">
      <c r="A17" s="21">
        <v>15</v>
      </c>
      <c r="B17" s="6" t="str">
        <f>IF('Order Form'!B25=0,"",'Order Form'!B25)</f>
        <v/>
      </c>
      <c r="C17" s="61">
        <f>'Order Form'!C25</f>
        <v>0</v>
      </c>
      <c r="D17" s="6" t="str">
        <f>IF('Order Form'!K25="Standard",(IFERROR(VLOOKUP($C17,$S$43:$T$52,2),"")),"")</f>
        <v/>
      </c>
      <c r="E17" s="6" t="str">
        <f>IF('Order Form'!K25="Extended",(IFERROR(VLOOKUP($C17,$S$43:$T$52,2),"")),"")</f>
        <v/>
      </c>
      <c r="F17" s="6" t="str">
        <f>IF(ISBLANK('Order Form'!$M25),"",IF('Order Form'!$M25="Centre Open",2,1))</f>
        <v/>
      </c>
      <c r="G17" s="22" t="str">
        <f>IF('Order Form'!$M25="Single Open",VLOOKUP(Table3[[#This Row],[width]],'VLOOK Hooks'!$C$3:$F$539,4,TRUE),"")</f>
        <v/>
      </c>
      <c r="H17" s="22" t="str">
        <f>IF('Order Form'!$M25="Centre Open",VLOOKUP((Table3[[#This Row],[width]]/2),'VLOOK Hooks'!$C$3:$F$539,4,TRUE),"")</f>
        <v/>
      </c>
      <c r="I17" s="22" t="str">
        <f>IF('Order Form'!$M25="Centre Open",VLOOKUP((Table3[[#This Row],[width]]/2),'VLOOK Hooks'!$C$3:$F$539,4,TRUE),"")</f>
        <v/>
      </c>
      <c r="J17" s="22">
        <f>SUM(Table3[[#This Row],[Single hooks]:[Right Side Hooks]])</f>
        <v>0</v>
      </c>
      <c r="K17" s="22" t="str">
        <f>IF('Order Form'!$M25="Single Open",((Table3[[#This Row],[Single hooks]]*120)+140),IF('Order Form'!$M25="Centre Open",(((Table3[[#This Row],[Left Side Hook]]+Table3[[#This Row],[Right Side Hooks]])*120)+280),""))</f>
        <v/>
      </c>
      <c r="L17" s="19"/>
    </row>
    <row r="18" spans="1:12" ht="16.899999999999999" customHeight="1" x14ac:dyDescent="0.25">
      <c r="A18" s="21">
        <v>16</v>
      </c>
      <c r="B18" s="6" t="str">
        <f>IF('Order Form'!B26=0,"",'Order Form'!B26)</f>
        <v/>
      </c>
      <c r="C18" s="61">
        <f>'Order Form'!C26</f>
        <v>0</v>
      </c>
      <c r="D18" s="6" t="str">
        <f>IF('Order Form'!K26="Standard",(IFERROR(VLOOKUP($C18,$S$43:$T$52,2),"")),"")</f>
        <v/>
      </c>
      <c r="E18" s="6" t="str">
        <f>IF('Order Form'!K26="Extended",(IFERROR(VLOOKUP($C18,$S$43:$T$52,2),"")),"")</f>
        <v/>
      </c>
      <c r="F18" s="6" t="str">
        <f>IF(ISBLANK('Order Form'!$M26),"",IF('Order Form'!$M26="Centre Open",2,1))</f>
        <v/>
      </c>
      <c r="G18" s="22" t="str">
        <f>IF('Order Form'!$M26="Single Open",VLOOKUP(Table3[[#This Row],[width]],'VLOOK Hooks'!$C$3:$F$539,4,TRUE),"")</f>
        <v/>
      </c>
      <c r="H18" s="22" t="str">
        <f>IF('Order Form'!$M26="Centre Open",VLOOKUP((Table3[[#This Row],[width]]/2),'VLOOK Hooks'!$C$3:$F$539,4,TRUE),"")</f>
        <v/>
      </c>
      <c r="I18" s="22" t="str">
        <f>IF('Order Form'!$M26="Centre Open",VLOOKUP((Table3[[#This Row],[width]]/2),'VLOOK Hooks'!$C$3:$F$539,4,TRUE),"")</f>
        <v/>
      </c>
      <c r="J18" s="22">
        <f>SUM(Table3[[#This Row],[Single hooks]:[Right Side Hooks]])</f>
        <v>0</v>
      </c>
      <c r="K18" s="22" t="str">
        <f>IF('Order Form'!$M26="Single Open",((Table3[[#This Row],[Single hooks]]*120)+140),IF('Order Form'!$M26="Centre Open",(((Table3[[#This Row],[Left Side Hook]]+Table3[[#This Row],[Right Side Hooks]])*120)+280),""))</f>
        <v/>
      </c>
      <c r="L18" s="17"/>
    </row>
    <row r="19" spans="1:12" ht="16.899999999999999" customHeight="1" x14ac:dyDescent="0.25">
      <c r="A19" s="21">
        <v>17</v>
      </c>
      <c r="B19" s="6" t="str">
        <f>IF('Order Form'!B27=0,"",'Order Form'!B27)</f>
        <v/>
      </c>
      <c r="C19" s="61">
        <f>'Order Form'!C27</f>
        <v>0</v>
      </c>
      <c r="D19" s="6" t="str">
        <f>IF('Order Form'!K27="Standard",(IFERROR(VLOOKUP($C19,$S$43:$T$52,2),"")),"")</f>
        <v/>
      </c>
      <c r="E19" s="6" t="str">
        <f>IF('Order Form'!K27="Extended",(IFERROR(VLOOKUP($C19,$S$43:$T$52,2),"")),"")</f>
        <v/>
      </c>
      <c r="F19" s="6" t="str">
        <f>IF(ISBLANK('Order Form'!$M27),"",IF('Order Form'!$M27="Centre Open",2,1))</f>
        <v/>
      </c>
      <c r="G19" s="22" t="str">
        <f>IF('Order Form'!$M27="Single Open",VLOOKUP(Table3[[#This Row],[width]],'VLOOK Hooks'!$C$3:$F$539,4,TRUE),"")</f>
        <v/>
      </c>
      <c r="H19" s="22" t="str">
        <f>IF('Order Form'!$M27="Centre Open",VLOOKUP((Table3[[#This Row],[width]]/2),'VLOOK Hooks'!$C$3:$F$539,4,TRUE),"")</f>
        <v/>
      </c>
      <c r="I19" s="22" t="str">
        <f>IF('Order Form'!$M27="Centre Open",VLOOKUP((Table3[[#This Row],[width]]/2),'VLOOK Hooks'!$C$3:$F$539,4,TRUE),"")</f>
        <v/>
      </c>
      <c r="J19" s="22">
        <f>SUM(Table3[[#This Row],[Single hooks]:[Right Side Hooks]])</f>
        <v>0</v>
      </c>
      <c r="K19" s="22" t="str">
        <f>IF('Order Form'!$M27="Single Open",((Table3[[#This Row],[Single hooks]]*120)+140),IF('Order Form'!$M27="Centre Open",(((Table3[[#This Row],[Left Side Hook]]+Table3[[#This Row],[Right Side Hooks]])*120)+280),""))</f>
        <v/>
      </c>
      <c r="L19" s="17"/>
    </row>
    <row r="20" spans="1:12" ht="16.899999999999999" customHeight="1" x14ac:dyDescent="0.25">
      <c r="A20" s="21">
        <v>18</v>
      </c>
      <c r="B20" s="6" t="str">
        <f>IF('Order Form'!B28=0,"",'Order Form'!B28)</f>
        <v/>
      </c>
      <c r="C20" s="61">
        <f>'Order Form'!C28</f>
        <v>0</v>
      </c>
      <c r="D20" s="6" t="str">
        <f>IF('Order Form'!K28="Standard",(IFERROR(VLOOKUP($C20,$S$43:$T$52,2),"")),"")</f>
        <v/>
      </c>
      <c r="E20" s="6" t="str">
        <f>IF('Order Form'!K28="Extended",(IFERROR(VLOOKUP($C20,$S$43:$T$52,2),"")),"")</f>
        <v/>
      </c>
      <c r="F20" s="6" t="str">
        <f>IF(ISBLANK('Order Form'!$M28),"",IF('Order Form'!$M28="Centre Open",2,1))</f>
        <v/>
      </c>
      <c r="G20" s="22" t="str">
        <f>IF('Order Form'!$M28="Single Open",VLOOKUP(Table3[[#This Row],[width]],'VLOOK Hooks'!$C$3:$F$539,4,TRUE),"")</f>
        <v/>
      </c>
      <c r="H20" s="22" t="str">
        <f>IF('Order Form'!$M28="Centre Open",VLOOKUP((Table3[[#This Row],[width]]/2),'VLOOK Hooks'!$C$3:$F$539,4,TRUE),"")</f>
        <v/>
      </c>
      <c r="I20" s="22" t="str">
        <f>IF('Order Form'!$M28="Centre Open",VLOOKUP((Table3[[#This Row],[width]]/2),'VLOOK Hooks'!$C$3:$F$539,4,TRUE),"")</f>
        <v/>
      </c>
      <c r="J20" s="22">
        <f>SUM(Table3[[#This Row],[Single hooks]:[Right Side Hooks]])</f>
        <v>0</v>
      </c>
      <c r="K20" s="22" t="str">
        <f>IF('Order Form'!$M28="Single Open",((Table3[[#This Row],[Single hooks]]*120)+140),IF('Order Form'!$M28="Centre Open",(((Table3[[#This Row],[Left Side Hook]]+Table3[[#This Row],[Right Side Hooks]])*120)+280),""))</f>
        <v/>
      </c>
      <c r="L20" s="17"/>
    </row>
    <row r="21" spans="1:12" ht="16.899999999999999" customHeight="1" x14ac:dyDescent="0.25">
      <c r="A21" s="21">
        <v>19</v>
      </c>
      <c r="B21" s="6" t="str">
        <f>IF('Order Form'!B29=0,"",'Order Form'!B29)</f>
        <v/>
      </c>
      <c r="C21" s="61">
        <f>'Order Form'!C29</f>
        <v>0</v>
      </c>
      <c r="D21" s="6" t="str">
        <f>IF('Order Form'!K29="Standard",(IFERROR(VLOOKUP($C21,$S$43:$T$52,2),"")),"")</f>
        <v/>
      </c>
      <c r="E21" s="6" t="str">
        <f>IF('Order Form'!K29="Extended",(IFERROR(VLOOKUP($C21,$S$43:$T$52,2),"")),"")</f>
        <v/>
      </c>
      <c r="F21" s="6" t="str">
        <f>IF(ISBLANK('Order Form'!$M29),"",IF('Order Form'!$M29="Centre Open",2,1))</f>
        <v/>
      </c>
      <c r="G21" s="22" t="str">
        <f>IF('Order Form'!$M29="Single Open",VLOOKUP(Table3[[#This Row],[width]],'VLOOK Hooks'!$C$3:$F$539,4,TRUE),"")</f>
        <v/>
      </c>
      <c r="H21" s="22" t="str">
        <f>IF('Order Form'!$M29="Centre Open",VLOOKUP((Table3[[#This Row],[width]]/2),'VLOOK Hooks'!$C$3:$F$539,4,TRUE),"")</f>
        <v/>
      </c>
      <c r="I21" s="22" t="str">
        <f>IF('Order Form'!$M29="Centre Open",VLOOKUP((Table3[[#This Row],[width]]/2),'VLOOK Hooks'!$C$3:$F$539,4,TRUE),"")</f>
        <v/>
      </c>
      <c r="J21" s="22">
        <f>SUM(Table3[[#This Row],[Single hooks]:[Right Side Hooks]])</f>
        <v>0</v>
      </c>
      <c r="K21" s="22" t="str">
        <f>IF('Order Form'!$M29="Single Open",((Table3[[#This Row],[Single hooks]]*120)+140),IF('Order Form'!$M29="Centre Open",(((Table3[[#This Row],[Left Side Hook]]+Table3[[#This Row],[Right Side Hooks]])*120)+280),""))</f>
        <v/>
      </c>
      <c r="L21" s="17"/>
    </row>
    <row r="22" spans="1:12" ht="16.899999999999999" customHeight="1" x14ac:dyDescent="0.25">
      <c r="A22" s="21">
        <v>20</v>
      </c>
      <c r="B22" s="6" t="str">
        <f>IF('Order Form'!B30=0,"",'Order Form'!B30)</f>
        <v/>
      </c>
      <c r="C22" s="61">
        <f>'Order Form'!C30</f>
        <v>0</v>
      </c>
      <c r="D22" s="6" t="str">
        <f>IF('Order Form'!K30="Standard",(IFERROR(VLOOKUP($C22,$S$43:$T$52,2),"")),"")</f>
        <v/>
      </c>
      <c r="E22" s="6" t="str">
        <f>IF('Order Form'!K30="Extended",(IFERROR(VLOOKUP($C22,$S$43:$T$52,2),"")),"")</f>
        <v/>
      </c>
      <c r="F22" s="6" t="str">
        <f>IF(ISBLANK('Order Form'!$M30),"",IF('Order Form'!$M30="Centre Open",2,1))</f>
        <v/>
      </c>
      <c r="G22" s="22" t="str">
        <f>IF('Order Form'!$M30="Single Open",VLOOKUP(Table3[[#This Row],[width]],'VLOOK Hooks'!$C$3:$F$539,4,TRUE),"")</f>
        <v/>
      </c>
      <c r="H22" s="22" t="str">
        <f>IF('Order Form'!$M30="Centre Open",VLOOKUP((Table3[[#This Row],[width]]/2),'VLOOK Hooks'!$C$3:$F$539,4,TRUE),"")</f>
        <v/>
      </c>
      <c r="I22" s="22" t="str">
        <f>IF('Order Form'!$M30="Centre Open",VLOOKUP((Table3[[#This Row],[width]]/2),'VLOOK Hooks'!$C$3:$F$539,4,TRUE),"")</f>
        <v/>
      </c>
      <c r="J22" s="22">
        <f>SUM(Table3[[#This Row],[Single hooks]:[Right Side Hooks]])</f>
        <v>0</v>
      </c>
      <c r="K22" s="22" t="str">
        <f>IF('Order Form'!$M30="Single Open",((Table3[[#This Row],[Single hooks]]*120)+140),IF('Order Form'!$M30="Centre Open",(((Table3[[#This Row],[Left Side Hook]]+Table3[[#This Row],[Right Side Hooks]])*120)+280),""))</f>
        <v/>
      </c>
      <c r="L22" s="17"/>
    </row>
    <row r="23" spans="1:12" ht="16.899999999999999" customHeight="1" x14ac:dyDescent="0.25">
      <c r="A23" s="21">
        <v>21</v>
      </c>
      <c r="B23" s="6" t="str">
        <f>IF('Order Form'!B31=0,"",'Order Form'!B31)</f>
        <v/>
      </c>
      <c r="C23" s="61">
        <f>'Order Form'!C31</f>
        <v>0</v>
      </c>
      <c r="D23" s="6" t="str">
        <f>IF('Order Form'!K31="Standard",(IFERROR(VLOOKUP($C23,$S$43:$T$52,2),"")),"")</f>
        <v/>
      </c>
      <c r="E23" s="6" t="str">
        <f>IF('Order Form'!K31="Extended",(IFERROR(VLOOKUP($C23,$S$43:$T$52,2),"")),"")</f>
        <v/>
      </c>
      <c r="F23" s="6" t="str">
        <f>IF(ISBLANK('Order Form'!$M31),"",IF('Order Form'!$M31="Centre Open",2,1))</f>
        <v/>
      </c>
      <c r="G23" s="22" t="str">
        <f>IF('Order Form'!$M31="Single Open",VLOOKUP(Table3[[#This Row],[width]],'VLOOK Hooks'!$C$3:$F$539,4,TRUE),"")</f>
        <v/>
      </c>
      <c r="H23" s="22" t="str">
        <f>IF('Order Form'!$M31="Centre Open",VLOOKUP((Table3[[#This Row],[width]]/2),'VLOOK Hooks'!$C$3:$F$539,4,TRUE),"")</f>
        <v/>
      </c>
      <c r="I23" s="22" t="str">
        <f>IF('Order Form'!$M31="Centre Open",VLOOKUP((Table3[[#This Row],[width]]/2),'VLOOK Hooks'!$C$3:$F$539,4,TRUE),"")</f>
        <v/>
      </c>
      <c r="J23" s="22">
        <f>SUM(Table3[[#This Row],[Single hooks]:[Right Side Hooks]])</f>
        <v>0</v>
      </c>
      <c r="K23" s="22" t="str">
        <f>IF('Order Form'!$M31="Single Open",((Table3[[#This Row],[Single hooks]]*120)+140),IF('Order Form'!$M31="Centre Open",(((Table3[[#This Row],[Left Side Hook]]+Table3[[#This Row],[Right Side Hooks]])*120)+280),""))</f>
        <v/>
      </c>
      <c r="L23" s="17"/>
    </row>
    <row r="24" spans="1:12" ht="16.899999999999999" customHeight="1" x14ac:dyDescent="0.25">
      <c r="A24" s="21">
        <v>22</v>
      </c>
      <c r="B24" s="6" t="str">
        <f>IF('Order Form'!B32=0,"",'Order Form'!B32)</f>
        <v/>
      </c>
      <c r="C24" s="61">
        <f>'Order Form'!C32</f>
        <v>0</v>
      </c>
      <c r="D24" s="6" t="str">
        <f>IF('Order Form'!K32="Standard",(IFERROR(VLOOKUP($C24,$S$43:$T$52,2),"")),"")</f>
        <v/>
      </c>
      <c r="E24" s="6" t="str">
        <f>IF('Order Form'!K32="Extended",(IFERROR(VLOOKUP($C24,$S$43:$T$52,2),"")),"")</f>
        <v/>
      </c>
      <c r="F24" s="6" t="str">
        <f>IF(ISBLANK('Order Form'!$M32),"",IF('Order Form'!$M32="Centre Open",2,1))</f>
        <v/>
      </c>
      <c r="G24" s="22" t="str">
        <f>IF('Order Form'!$M32="Single Open",VLOOKUP(Table3[[#This Row],[width]],'VLOOK Hooks'!$C$3:$F$539,4,TRUE),"")</f>
        <v/>
      </c>
      <c r="H24" s="22" t="str">
        <f>IF('Order Form'!$M32="Centre Open",VLOOKUP((Table3[[#This Row],[width]]/2),'VLOOK Hooks'!$C$3:$F$539,4,TRUE),"")</f>
        <v/>
      </c>
      <c r="I24" s="22" t="str">
        <f>IF('Order Form'!$M32="Centre Open",VLOOKUP((Table3[[#This Row],[width]]/2),'VLOOK Hooks'!$C$3:$F$539,4,TRUE),"")</f>
        <v/>
      </c>
      <c r="J24" s="22">
        <f>SUM(Table3[[#This Row],[Single hooks]:[Right Side Hooks]])</f>
        <v>0</v>
      </c>
      <c r="K24" s="22" t="str">
        <f>IF('Order Form'!$M32="Single Open",((Table3[[#This Row],[Single hooks]]*120)+140),IF('Order Form'!$M32="Centre Open",(((Table3[[#This Row],[Left Side Hook]]+Table3[[#This Row],[Right Side Hooks]])*120)+280),""))</f>
        <v/>
      </c>
      <c r="L24" s="17"/>
    </row>
    <row r="25" spans="1:12" ht="16.899999999999999" customHeight="1" x14ac:dyDescent="0.25">
      <c r="A25" s="21">
        <v>23</v>
      </c>
      <c r="B25" s="6" t="str">
        <f>IF('Order Form'!B33=0,"",'Order Form'!B33)</f>
        <v/>
      </c>
      <c r="C25" s="61">
        <f>'Order Form'!C33</f>
        <v>0</v>
      </c>
      <c r="D25" s="6" t="str">
        <f>IF('Order Form'!K33="Standard",(IFERROR(VLOOKUP($C25,$S$43:$T$52,2),"")),"")</f>
        <v/>
      </c>
      <c r="E25" s="6" t="str">
        <f>IF('Order Form'!K33="Extended",(IFERROR(VLOOKUP($C25,$S$43:$T$52,2),"")),"")</f>
        <v/>
      </c>
      <c r="F25" s="6" t="str">
        <f>IF(ISBLANK('Order Form'!$M33),"",IF('Order Form'!$M33="Centre Open",2,1))</f>
        <v/>
      </c>
      <c r="G25" s="22" t="str">
        <f>IF('Order Form'!$M33="Single Open",VLOOKUP(Table3[[#This Row],[width]],'VLOOK Hooks'!$C$3:$F$539,4,TRUE),"")</f>
        <v/>
      </c>
      <c r="H25" s="22" t="str">
        <f>IF('Order Form'!$M33="Centre Open",VLOOKUP((Table3[[#This Row],[width]]/2),'VLOOK Hooks'!$C$3:$F$539,4,TRUE),"")</f>
        <v/>
      </c>
      <c r="I25" s="22" t="str">
        <f>IF('Order Form'!$M33="Centre Open",VLOOKUP((Table3[[#This Row],[width]]/2),'VLOOK Hooks'!$C$3:$F$539,4,TRUE),"")</f>
        <v/>
      </c>
      <c r="J25" s="22">
        <f>SUM(Table3[[#This Row],[Single hooks]:[Right Side Hooks]])</f>
        <v>0</v>
      </c>
      <c r="K25" s="22" t="str">
        <f>IF('Order Form'!$M33="Single Open",((Table3[[#This Row],[Single hooks]]*120)+140),IF('Order Form'!$M33="Centre Open",(((Table3[[#This Row],[Left Side Hook]]+Table3[[#This Row],[Right Side Hooks]])*120)+280),""))</f>
        <v/>
      </c>
      <c r="L25" s="17"/>
    </row>
    <row r="26" spans="1:12" ht="16.899999999999999" customHeight="1" x14ac:dyDescent="0.25">
      <c r="A26" s="21">
        <v>24</v>
      </c>
      <c r="B26" s="6" t="str">
        <f>IF('Order Form'!B34=0,"",'Order Form'!B34)</f>
        <v/>
      </c>
      <c r="C26" s="61">
        <f>'Order Form'!C34</f>
        <v>0</v>
      </c>
      <c r="D26" s="6" t="str">
        <f>IF('Order Form'!K34="Standard",(IFERROR(VLOOKUP($C26,$S$43:$T$52,2),"")),"")</f>
        <v/>
      </c>
      <c r="E26" s="6" t="str">
        <f>IF('Order Form'!K34="Extended",(IFERROR(VLOOKUP($C26,$S$43:$T$52,2),"")),"")</f>
        <v/>
      </c>
      <c r="F26" s="6" t="str">
        <f>IF(ISBLANK('Order Form'!$M34),"",IF('Order Form'!$M34="Centre Open",2,1))</f>
        <v/>
      </c>
      <c r="G26" s="22" t="str">
        <f>IF('Order Form'!$M34="Single Open",VLOOKUP(Table3[[#This Row],[width]],'VLOOK Hooks'!$C$3:$F$539,4,TRUE),"")</f>
        <v/>
      </c>
      <c r="H26" s="22" t="str">
        <f>IF('Order Form'!$M34="Centre Open",VLOOKUP((Table3[[#This Row],[width]]/2),'VLOOK Hooks'!$C$3:$F$539,4,TRUE),"")</f>
        <v/>
      </c>
      <c r="I26" s="22" t="str">
        <f>IF('Order Form'!$M34="Centre Open",VLOOKUP((Table3[[#This Row],[width]]/2),'VLOOK Hooks'!$C$3:$F$539,4,TRUE),"")</f>
        <v/>
      </c>
      <c r="J26" s="22">
        <f>SUM(Table3[[#This Row],[Single hooks]:[Right Side Hooks]])</f>
        <v>0</v>
      </c>
      <c r="K26" s="22" t="str">
        <f>IF('Order Form'!$M34="Single Open",((Table3[[#This Row],[Single hooks]]*120)+140),IF('Order Form'!$M34="Centre Open",(((Table3[[#This Row],[Left Side Hook]]+Table3[[#This Row],[Right Side Hooks]])*120)+280),""))</f>
        <v/>
      </c>
      <c r="L26" s="17"/>
    </row>
    <row r="27" spans="1:12" ht="16.899999999999999" customHeight="1" x14ac:dyDescent="0.25">
      <c r="A27" s="21">
        <v>25</v>
      </c>
      <c r="B27" s="6" t="str">
        <f>IF('Order Form'!B35=0,"",'Order Form'!B35)</f>
        <v/>
      </c>
      <c r="C27" s="61">
        <f>'Order Form'!C35</f>
        <v>0</v>
      </c>
      <c r="D27" s="6" t="str">
        <f>IF('Order Form'!K35="Standard",(IFERROR(VLOOKUP($C27,$S$43:$T$52,2),"")),"")</f>
        <v/>
      </c>
      <c r="E27" s="6" t="str">
        <f>IF('Order Form'!K35="Extended",(IFERROR(VLOOKUP($C27,$S$43:$T$52,2),"")),"")</f>
        <v/>
      </c>
      <c r="F27" s="6" t="str">
        <f>IF(ISBLANK('Order Form'!$M35),"",IF('Order Form'!$M35="Centre Open",2,1))</f>
        <v/>
      </c>
      <c r="G27" s="22" t="str">
        <f>IF('Order Form'!$M35="Single Open",VLOOKUP(Table3[[#This Row],[width]],'VLOOK Hooks'!$C$3:$F$539,4,TRUE),"")</f>
        <v/>
      </c>
      <c r="H27" s="22" t="str">
        <f>IF('Order Form'!$M35="Centre Open",VLOOKUP((Table3[[#This Row],[width]]/2),'VLOOK Hooks'!$C$3:$F$539,4,TRUE),"")</f>
        <v/>
      </c>
      <c r="I27" s="22" t="str">
        <f>IF('Order Form'!$M35="Centre Open",VLOOKUP((Table3[[#This Row],[width]]/2),'VLOOK Hooks'!$C$3:$F$539,4,TRUE),"")</f>
        <v/>
      </c>
      <c r="J27" s="22">
        <f>SUM(Table3[[#This Row],[Single hooks]:[Right Side Hooks]])</f>
        <v>0</v>
      </c>
      <c r="K27" s="22" t="str">
        <f>IF('Order Form'!$M35="Single Open",((Table3[[#This Row],[Single hooks]]*120)+140),IF('Order Form'!$M35="Centre Open",(((Table3[[#This Row],[Left Side Hook]]+Table3[[#This Row],[Right Side Hooks]])*120)+280),""))</f>
        <v/>
      </c>
      <c r="L27" s="17"/>
    </row>
    <row r="28" spans="1:12" ht="16.899999999999999" customHeight="1" x14ac:dyDescent="0.25">
      <c r="A28" s="21">
        <v>26</v>
      </c>
      <c r="B28" s="6" t="str">
        <f>IF('Order Form'!B36=0,"",'Order Form'!B36)</f>
        <v/>
      </c>
      <c r="C28" s="61">
        <f>'Order Form'!C36</f>
        <v>0</v>
      </c>
      <c r="D28" s="6" t="str">
        <f>IF('Order Form'!K36="Standard",(IFERROR(VLOOKUP($C28,$S$43:$T$52,2),"")),"")</f>
        <v/>
      </c>
      <c r="E28" s="6" t="str">
        <f>IF('Order Form'!K36="Extended",(IFERROR(VLOOKUP($C28,$S$43:$T$52,2),"")),"")</f>
        <v/>
      </c>
      <c r="F28" s="6" t="str">
        <f>IF(ISBLANK('Order Form'!$M36),"",IF('Order Form'!$M36="Centre Open",2,1))</f>
        <v/>
      </c>
      <c r="G28" s="22" t="str">
        <f>IF('Order Form'!$M36="Single Open",VLOOKUP(Table3[[#This Row],[width]],'VLOOK Hooks'!$C$3:$F$539,4,TRUE),"")</f>
        <v/>
      </c>
      <c r="H28" s="22" t="str">
        <f>IF('Order Form'!$M36="Centre Open",VLOOKUP((Table3[[#This Row],[width]]/2),'VLOOK Hooks'!$C$3:$F$539,4,TRUE),"")</f>
        <v/>
      </c>
      <c r="I28" s="22" t="str">
        <f>IF('Order Form'!$M36="Centre Open",VLOOKUP((Table3[[#This Row],[width]]/2),'VLOOK Hooks'!$C$3:$F$539,4,TRUE),"")</f>
        <v/>
      </c>
      <c r="J28" s="22">
        <f>SUM(Table3[[#This Row],[Single hooks]:[Right Side Hooks]])</f>
        <v>0</v>
      </c>
      <c r="K28" s="22" t="str">
        <f>IF('Order Form'!$M36="Single Open",((Table3[[#This Row],[Single hooks]]*120)+140),IF('Order Form'!$M36="Centre Open",(((Table3[[#This Row],[Left Side Hook]]+Table3[[#This Row],[Right Side Hooks]])*120)+280),""))</f>
        <v/>
      </c>
      <c r="L28" s="17"/>
    </row>
    <row r="29" spans="1:12" ht="16.899999999999999" customHeight="1" x14ac:dyDescent="0.25">
      <c r="A29" s="21">
        <v>27</v>
      </c>
      <c r="B29" s="6" t="str">
        <f>IF('Order Form'!B37=0,"",'Order Form'!B37)</f>
        <v/>
      </c>
      <c r="C29" s="61">
        <f>'Order Form'!C37</f>
        <v>0</v>
      </c>
      <c r="D29" s="6" t="str">
        <f>IF('Order Form'!K37="Standard",(IFERROR(VLOOKUP($C29,$S$43:$T$52,2),"")),"")</f>
        <v/>
      </c>
      <c r="E29" s="6" t="str">
        <f>IF('Order Form'!K37="Extended",(IFERROR(VLOOKUP($C29,$S$43:$T$52,2),"")),"")</f>
        <v/>
      </c>
      <c r="F29" s="6" t="str">
        <f>IF(ISBLANK('Order Form'!$M37),"",IF('Order Form'!$M37="Centre Open",2,1))</f>
        <v/>
      </c>
      <c r="G29" s="22" t="str">
        <f>IF('Order Form'!$M37="Single Open",VLOOKUP(Table3[[#This Row],[width]],'VLOOK Hooks'!$C$3:$F$539,4,TRUE),"")</f>
        <v/>
      </c>
      <c r="H29" s="22" t="str">
        <f>IF('Order Form'!$M37="Centre Open",VLOOKUP((Table3[[#This Row],[width]]/2),'VLOOK Hooks'!$C$3:$F$539,4,TRUE),"")</f>
        <v/>
      </c>
      <c r="I29" s="22" t="str">
        <f>IF('Order Form'!$M37="Centre Open",VLOOKUP((Table3[[#This Row],[width]]/2),'VLOOK Hooks'!$C$3:$F$539,4,TRUE),"")</f>
        <v/>
      </c>
      <c r="J29" s="22">
        <f>SUM(Table3[[#This Row],[Single hooks]:[Right Side Hooks]])</f>
        <v>0</v>
      </c>
      <c r="K29" s="22" t="str">
        <f>IF('Order Form'!$M37="Single Open",((Table3[[#This Row],[Single hooks]]*120)+140),IF('Order Form'!$M37="Centre Open",(((Table3[[#This Row],[Left Side Hook]]+Table3[[#This Row],[Right Side Hooks]])*120)+280),""))</f>
        <v/>
      </c>
      <c r="L29" s="17"/>
    </row>
    <row r="30" spans="1:12" ht="16.899999999999999" customHeight="1" x14ac:dyDescent="0.25">
      <c r="A30" s="21">
        <v>28</v>
      </c>
      <c r="B30" s="6" t="str">
        <f>IF('Order Form'!B38=0,"",'Order Form'!B38)</f>
        <v/>
      </c>
      <c r="C30" s="61">
        <f>'Order Form'!C38</f>
        <v>0</v>
      </c>
      <c r="D30" s="6" t="str">
        <f>IF('Order Form'!K38="Standard",(IFERROR(VLOOKUP($C30,$S$43:$T$52,2),"")),"")</f>
        <v/>
      </c>
      <c r="E30" s="6" t="str">
        <f>IF('Order Form'!K38="Extended",(IFERROR(VLOOKUP($C30,$S$43:$T$52,2),"")),"")</f>
        <v/>
      </c>
      <c r="F30" s="6" t="str">
        <f>IF(ISBLANK('Order Form'!$M38),"",IF('Order Form'!$M38="Centre Open",2,1))</f>
        <v/>
      </c>
      <c r="G30" s="22" t="str">
        <f>IF('Order Form'!$M38="Single Open",VLOOKUP(Table3[[#This Row],[width]],'VLOOK Hooks'!$C$3:$F$539,4,TRUE),"")</f>
        <v/>
      </c>
      <c r="H30" s="22" t="str">
        <f>IF('Order Form'!$M38="Centre Open",VLOOKUP((Table3[[#This Row],[width]]/2),'VLOOK Hooks'!$C$3:$F$539,4,TRUE),"")</f>
        <v/>
      </c>
      <c r="I30" s="22" t="str">
        <f>IF('Order Form'!$M38="Centre Open",VLOOKUP((Table3[[#This Row],[width]]/2),'VLOOK Hooks'!$C$3:$F$539,4,TRUE),"")</f>
        <v/>
      </c>
      <c r="J30" s="22">
        <f>SUM(Table3[[#This Row],[Single hooks]:[Right Side Hooks]])</f>
        <v>0</v>
      </c>
      <c r="K30" s="22" t="str">
        <f>IF('Order Form'!$M38="Single Open",((Table3[[#This Row],[Single hooks]]*120)+140),IF('Order Form'!$M38="Centre Open",(((Table3[[#This Row],[Left Side Hook]]+Table3[[#This Row],[Right Side Hooks]])*120)+280),""))</f>
        <v/>
      </c>
      <c r="L30" s="17"/>
    </row>
    <row r="31" spans="1:12" ht="16.899999999999999" customHeight="1" x14ac:dyDescent="0.25">
      <c r="A31" s="21">
        <v>29</v>
      </c>
      <c r="B31" s="6" t="str">
        <f>IF('Order Form'!B39=0,"",'Order Form'!B39)</f>
        <v/>
      </c>
      <c r="C31" s="61">
        <f>'Order Form'!C39</f>
        <v>0</v>
      </c>
      <c r="D31" s="6" t="str">
        <f>IF('Order Form'!K39="Standard",(IFERROR(VLOOKUP($C31,$S$43:$T$52,2),"")),"")</f>
        <v/>
      </c>
      <c r="E31" s="6" t="str">
        <f>IF('Order Form'!K39="Extended",(IFERROR(VLOOKUP($C31,$S$43:$T$52,2),"")),"")</f>
        <v/>
      </c>
      <c r="F31" s="6" t="str">
        <f>IF(ISBLANK('Order Form'!$M39),"",IF('Order Form'!$M39="Centre Open",2,1))</f>
        <v/>
      </c>
      <c r="G31" s="22" t="str">
        <f>IF('Order Form'!$M39="Single Open",VLOOKUP(Table3[[#This Row],[width]],'VLOOK Hooks'!$C$3:$F$539,4,TRUE),"")</f>
        <v/>
      </c>
      <c r="H31" s="22" t="str">
        <f>IF('Order Form'!$M39="Centre Open",VLOOKUP((Table3[[#This Row],[width]]/2),'VLOOK Hooks'!$C$3:$F$539,4,TRUE),"")</f>
        <v/>
      </c>
      <c r="I31" s="22" t="str">
        <f>IF('Order Form'!$M39="Centre Open",VLOOKUP((Table3[[#This Row],[width]]/2),'VLOOK Hooks'!$C$3:$F$539,4,TRUE),"")</f>
        <v/>
      </c>
      <c r="J31" s="22">
        <f>SUM(Table3[[#This Row],[Single hooks]:[Right Side Hooks]])</f>
        <v>0</v>
      </c>
      <c r="K31" s="22" t="str">
        <f>IF('Order Form'!$M39="Single Open",((Table3[[#This Row],[Single hooks]]*120)+140),IF('Order Form'!$M39="Centre Open",(((Table3[[#This Row],[Left Side Hook]]+Table3[[#This Row],[Right Side Hooks]])*120)+280),""))</f>
        <v/>
      </c>
      <c r="L31" s="17"/>
    </row>
    <row r="32" spans="1:12" ht="16.899999999999999" customHeight="1" x14ac:dyDescent="0.25">
      <c r="A32" s="21">
        <v>30</v>
      </c>
      <c r="B32" s="6" t="str">
        <f>IF('Order Form'!B40=0,"",'Order Form'!B40)</f>
        <v/>
      </c>
      <c r="C32" s="61">
        <f>'Order Form'!C40</f>
        <v>0</v>
      </c>
      <c r="D32" s="6" t="str">
        <f>IF('Order Form'!K40="Standard",(IFERROR(VLOOKUP($C32,$S$43:$T$52,2),"")),"")</f>
        <v/>
      </c>
      <c r="E32" s="6" t="str">
        <f>IF('Order Form'!K40="Extended",(IFERROR(VLOOKUP($C32,$S$43:$T$52,2),"")),"")</f>
        <v/>
      </c>
      <c r="F32" s="6" t="str">
        <f>IF(ISBLANK('Order Form'!$M40),"",IF('Order Form'!$M40="Centre Open",2,1))</f>
        <v/>
      </c>
      <c r="G32" s="22" t="str">
        <f>IF('Order Form'!$M40="Single Open",VLOOKUP(Table3[[#This Row],[width]],'VLOOK Hooks'!$C$3:$F$539,4,TRUE),"")</f>
        <v/>
      </c>
      <c r="H32" s="22" t="str">
        <f>IF('Order Form'!$M40="Centre Open",VLOOKUP((Table3[[#This Row],[width]]/2),'VLOOK Hooks'!$C$3:$F$539,4,TRUE),"")</f>
        <v/>
      </c>
      <c r="I32" s="22" t="str">
        <f>IF('Order Form'!$M40="Centre Open",VLOOKUP((Table3[[#This Row],[width]]/2),'VLOOK Hooks'!$C$3:$F$539,4,TRUE),"")</f>
        <v/>
      </c>
      <c r="J32" s="22">
        <f>SUM(Table3[[#This Row],[Single hooks]:[Right Side Hooks]])</f>
        <v>0</v>
      </c>
      <c r="K32" s="22" t="str">
        <f>IF('Order Form'!$M40="Single Open",((Table3[[#This Row],[Single hooks]]*120)+140),IF('Order Form'!$M40="Centre Open",(((Table3[[#This Row],[Left Side Hook]]+Table3[[#This Row],[Right Side Hooks]])*120)+280),""))</f>
        <v/>
      </c>
      <c r="L32" s="17"/>
    </row>
    <row r="33" spans="1:20" ht="16.899999999999999" customHeight="1" x14ac:dyDescent="0.25">
      <c r="A33" s="21">
        <v>31</v>
      </c>
      <c r="B33" s="6" t="str">
        <f>IF('Order Form'!B41=0,"",'Order Form'!B41)</f>
        <v/>
      </c>
      <c r="C33" s="61">
        <f>'Order Form'!C41</f>
        <v>0</v>
      </c>
      <c r="D33" s="6" t="str">
        <f>IF('Order Form'!K41="Standard",(IFERROR(VLOOKUP($C33,$S$43:$T$52,2),"")),"")</f>
        <v/>
      </c>
      <c r="E33" s="6" t="str">
        <f>IF('Order Form'!K41="Extended",(IFERROR(VLOOKUP($C33,$S$43:$T$52,2),"")),"")</f>
        <v/>
      </c>
      <c r="F33" s="6" t="str">
        <f>IF(ISBLANK('Order Form'!$M41),"",IF('Order Form'!$M41="Centre Open",2,1))</f>
        <v/>
      </c>
      <c r="G33" s="22" t="str">
        <f>IF('Order Form'!$M41="Single Open",VLOOKUP(Table3[[#This Row],[width]],'VLOOK Hooks'!$C$3:$F$539,4,TRUE),"")</f>
        <v/>
      </c>
      <c r="H33" s="22" t="str">
        <f>IF('Order Form'!$M41="Centre Open",VLOOKUP((Table3[[#This Row],[width]]/2),'VLOOK Hooks'!$C$3:$F$539,4,TRUE),"")</f>
        <v/>
      </c>
      <c r="I33" s="22" t="str">
        <f>IF('Order Form'!$M41="Centre Open",VLOOKUP((Table3[[#This Row],[width]]/2),'VLOOK Hooks'!$C$3:$F$539,4,TRUE),"")</f>
        <v/>
      </c>
      <c r="J33" s="22">
        <f>SUM(Table3[[#This Row],[Single hooks]:[Right Side Hooks]])</f>
        <v>0</v>
      </c>
      <c r="K33" s="22" t="str">
        <f>IF('Order Form'!$M41="Single Open",((Table3[[#This Row],[Single hooks]]*120)+140),IF('Order Form'!$M41="Centre Open",(((Table3[[#This Row],[Left Side Hook]]+Table3[[#This Row],[Right Side Hooks]])*120)+280),""))</f>
        <v/>
      </c>
      <c r="L33" s="17"/>
    </row>
    <row r="34" spans="1:20" ht="16.899999999999999" customHeight="1" x14ac:dyDescent="0.25">
      <c r="A34" s="21">
        <v>32</v>
      </c>
      <c r="B34" s="6" t="str">
        <f>IF('Order Form'!B42=0,"",'Order Form'!B42)</f>
        <v/>
      </c>
      <c r="C34" s="61">
        <f>'Order Form'!C42</f>
        <v>0</v>
      </c>
      <c r="D34" s="6" t="str">
        <f>IF('Order Form'!K42="Standard",(IFERROR(VLOOKUP($C34,$S$43:$T$52,2),"")),"")</f>
        <v/>
      </c>
      <c r="E34" s="6" t="str">
        <f>IF('Order Form'!K42="Extended",(IFERROR(VLOOKUP($C34,$S$43:$T$52,2),"")),"")</f>
        <v/>
      </c>
      <c r="F34" s="6" t="str">
        <f>IF(ISBLANK('Order Form'!$M42),"",IF('Order Form'!$M42="Centre Open",2,1))</f>
        <v/>
      </c>
      <c r="G34" s="22" t="str">
        <f>IF('Order Form'!$M42="Single Open",VLOOKUP(Table3[[#This Row],[width]],'VLOOK Hooks'!$C$3:$F$539,4,TRUE),"")</f>
        <v/>
      </c>
      <c r="H34" s="22" t="str">
        <f>IF('Order Form'!$M42="Centre Open",VLOOKUP((Table3[[#This Row],[width]]/2),'VLOOK Hooks'!$C$3:$F$539,4,TRUE),"")</f>
        <v/>
      </c>
      <c r="I34" s="22" t="str">
        <f>IF('Order Form'!$M42="Centre Open",VLOOKUP((Table3[[#This Row],[width]]/2),'VLOOK Hooks'!$C$3:$F$539,4,TRUE),"")</f>
        <v/>
      </c>
      <c r="J34" s="22">
        <f>SUM(Table3[[#This Row],[Single hooks]:[Right Side Hooks]])</f>
        <v>0</v>
      </c>
      <c r="K34" s="22" t="str">
        <f>IF('Order Form'!$M42="Single Open",((Table3[[#This Row],[Single hooks]]*120)+140),IF('Order Form'!$M42="Centre Open",(((Table3[[#This Row],[Left Side Hook]]+Table3[[#This Row],[Right Side Hooks]])*120)+280),""))</f>
        <v/>
      </c>
      <c r="L34" s="17"/>
    </row>
    <row r="35" spans="1:20" ht="16.899999999999999" customHeight="1" x14ac:dyDescent="0.25">
      <c r="A35" s="21">
        <v>33</v>
      </c>
      <c r="B35" s="6" t="str">
        <f>IF('Order Form'!B43=0,"",'Order Form'!B43)</f>
        <v/>
      </c>
      <c r="C35" s="61">
        <f>'Order Form'!C43</f>
        <v>0</v>
      </c>
      <c r="D35" s="6" t="str">
        <f>IF('Order Form'!K43="Standard",(IFERROR(VLOOKUP($C35,$S$43:$T$52,2),"")),"")</f>
        <v/>
      </c>
      <c r="E35" s="6" t="str">
        <f>IF('Order Form'!K43="Extended",(IFERROR(VLOOKUP($C35,$S$43:$T$52,2),"")),"")</f>
        <v/>
      </c>
      <c r="F35" s="6" t="str">
        <f>IF(ISBLANK('Order Form'!$M43),"",IF('Order Form'!$M43="Centre Open",2,1))</f>
        <v/>
      </c>
      <c r="G35" s="22" t="str">
        <f>IF('Order Form'!$M43="Single Open",VLOOKUP(Table3[[#This Row],[width]],'VLOOK Hooks'!$C$3:$F$539,4,TRUE),"")</f>
        <v/>
      </c>
      <c r="H35" s="22" t="str">
        <f>IF('Order Form'!$M43="Centre Open",VLOOKUP((Table3[[#This Row],[width]]/2),'VLOOK Hooks'!$C$3:$F$539,4,TRUE),"")</f>
        <v/>
      </c>
      <c r="I35" s="22" t="str">
        <f>IF('Order Form'!$M43="Centre Open",VLOOKUP((Table3[[#This Row],[width]]/2),'VLOOK Hooks'!$C$3:$F$539,4,TRUE),"")</f>
        <v/>
      </c>
      <c r="J35" s="22">
        <f>SUM(Table3[[#This Row],[Single hooks]:[Right Side Hooks]])</f>
        <v>0</v>
      </c>
      <c r="K35" s="22" t="str">
        <f>IF('Order Form'!$M43="Single Open",((Table3[[#This Row],[Single hooks]]*120)+140),IF('Order Form'!$M43="Centre Open",(((Table3[[#This Row],[Left Side Hook]]+Table3[[#This Row],[Right Side Hooks]])*120)+280),""))</f>
        <v/>
      </c>
      <c r="L35" s="17"/>
    </row>
    <row r="36" spans="1:20" ht="16.899999999999999" customHeight="1" x14ac:dyDescent="0.25">
      <c r="A36" s="21">
        <v>34</v>
      </c>
      <c r="B36" s="6" t="str">
        <f>IF('Order Form'!B44=0,"",'Order Form'!B44)</f>
        <v/>
      </c>
      <c r="C36" s="61">
        <f>'Order Form'!C44</f>
        <v>0</v>
      </c>
      <c r="D36" s="6" t="str">
        <f>IF('Order Form'!K44="Standard",(IFERROR(VLOOKUP($C36,$S$43:$T$52,2),"")),"")</f>
        <v/>
      </c>
      <c r="E36" s="6" t="str">
        <f>IF('Order Form'!K44="Extended",(IFERROR(VLOOKUP($C36,$S$43:$T$52,2),"")),"")</f>
        <v/>
      </c>
      <c r="F36" s="6" t="str">
        <f>IF(ISBLANK('Order Form'!$M44),"",IF('Order Form'!$M44="Centre Open",2,1))</f>
        <v/>
      </c>
      <c r="G36" s="22" t="str">
        <f>IF('Order Form'!$M44="Single Open",VLOOKUP(Table3[[#This Row],[width]],'VLOOK Hooks'!$C$3:$F$539,4,TRUE),"")</f>
        <v/>
      </c>
      <c r="H36" s="22" t="str">
        <f>IF('Order Form'!$M44="Centre Open",VLOOKUP((Table3[[#This Row],[width]]/2),'VLOOK Hooks'!$C$3:$F$539,4,TRUE),"")</f>
        <v/>
      </c>
      <c r="I36" s="22" t="str">
        <f>IF('Order Form'!$M44="Centre Open",VLOOKUP((Table3[[#This Row],[width]]/2),'VLOOK Hooks'!$C$3:$F$539,4,TRUE),"")</f>
        <v/>
      </c>
      <c r="J36" s="22">
        <f>SUM(Table3[[#This Row],[Single hooks]:[Right Side Hooks]])</f>
        <v>0</v>
      </c>
      <c r="K36" s="22" t="str">
        <f>IF('Order Form'!$M44="Single Open",((Table3[[#This Row],[Single hooks]]*120)+140),IF('Order Form'!$M44="Centre Open",(((Table3[[#This Row],[Left Side Hook]]+Table3[[#This Row],[Right Side Hooks]])*120)+280),""))</f>
        <v/>
      </c>
      <c r="L36" s="17"/>
    </row>
    <row r="37" spans="1:20" ht="16.899999999999999" customHeight="1" x14ac:dyDescent="0.25">
      <c r="A37" s="21">
        <v>35</v>
      </c>
      <c r="B37" s="6" t="str">
        <f>IF('Order Form'!B45=0,"",'Order Form'!B45)</f>
        <v/>
      </c>
      <c r="C37" s="61">
        <f>'Order Form'!C45</f>
        <v>0</v>
      </c>
      <c r="D37" s="6" t="str">
        <f>IF('Order Form'!K45="Standard",(IFERROR(VLOOKUP($C37,$S$43:$T$52,2),"")),"")</f>
        <v/>
      </c>
      <c r="E37" s="6" t="str">
        <f>IF('Order Form'!K45="Extended",(IFERROR(VLOOKUP($C37,$S$43:$T$52,2),"")),"")</f>
        <v/>
      </c>
      <c r="F37" s="6" t="str">
        <f>IF(ISBLANK('Order Form'!$M45),"",IF('Order Form'!$M45="Centre Open",2,1))</f>
        <v/>
      </c>
      <c r="G37" s="22" t="str">
        <f>IF('Order Form'!$M45="Single Open",VLOOKUP(Table3[[#This Row],[width]],'VLOOK Hooks'!$C$3:$F$539,4,TRUE),"")</f>
        <v/>
      </c>
      <c r="H37" s="22" t="str">
        <f>IF('Order Form'!$M45="Centre Open",VLOOKUP((Table3[[#This Row],[width]]/2),'VLOOK Hooks'!$C$3:$F$539,4,TRUE),"")</f>
        <v/>
      </c>
      <c r="I37" s="22" t="str">
        <f>IF('Order Form'!$M45="Centre Open",VLOOKUP((Table3[[#This Row],[width]]/2),'VLOOK Hooks'!$C$3:$F$539,4,TRUE),"")</f>
        <v/>
      </c>
      <c r="J37" s="22">
        <f>SUM(Table3[[#This Row],[Single hooks]:[Right Side Hooks]])</f>
        <v>0</v>
      </c>
      <c r="K37" s="22" t="str">
        <f>IF('Order Form'!$M45="Single Open",((Table3[[#This Row],[Single hooks]]*120)+140),IF('Order Form'!$M45="Centre Open",(((Table3[[#This Row],[Left Side Hook]]+Table3[[#This Row],[Right Side Hooks]])*120)+280),""))</f>
        <v/>
      </c>
    </row>
    <row r="38" spans="1:20" ht="16.899999999999999" customHeight="1" x14ac:dyDescent="0.25">
      <c r="A38" s="21">
        <v>36</v>
      </c>
      <c r="B38" s="6" t="str">
        <f>IF('Order Form'!B46=0,"",'Order Form'!B46)</f>
        <v/>
      </c>
      <c r="C38" s="61">
        <f>'Order Form'!C46</f>
        <v>0</v>
      </c>
      <c r="D38" s="6" t="str">
        <f>IF('Order Form'!K46="Standard",(IFERROR(VLOOKUP($C38,$S$43:$T$52,2),"")),"")</f>
        <v/>
      </c>
      <c r="E38" s="6" t="str">
        <f>IF('Order Form'!K46="Extended",(IFERROR(VLOOKUP($C38,$S$43:$T$52,2),"")),"")</f>
        <v/>
      </c>
      <c r="F38" s="6" t="str">
        <f>IF(ISBLANK('Order Form'!$M46),"",IF('Order Form'!$M46="Centre Open",2,1))</f>
        <v/>
      </c>
      <c r="G38" s="22" t="str">
        <f>IF('Order Form'!$M46="Single Open",VLOOKUP(Table3[[#This Row],[width]],'VLOOK Hooks'!$C$3:$F$539,4,TRUE),"")</f>
        <v/>
      </c>
      <c r="H38" s="22" t="str">
        <f>IF('Order Form'!$M46="Centre Open",VLOOKUP((Table3[[#This Row],[width]]/2),'VLOOK Hooks'!$C$3:$F$539,4,TRUE),"")</f>
        <v/>
      </c>
      <c r="I38" s="22" t="str">
        <f>IF('Order Form'!$M46="Centre Open",VLOOKUP((Table3[[#This Row],[width]]/2),'VLOOK Hooks'!$C$3:$F$539,4,TRUE),"")</f>
        <v/>
      </c>
      <c r="J38" s="22">
        <f>SUM(Table3[[#This Row],[Single hooks]:[Right Side Hooks]])</f>
        <v>0</v>
      </c>
      <c r="K38" s="22" t="str">
        <f>IF('Order Form'!$M46="Single Open",((Table3[[#This Row],[Single hooks]]*120)+140),IF('Order Form'!$M46="Centre Open",(((Table3[[#This Row],[Left Side Hook]]+Table3[[#This Row],[Right Side Hooks]])*120)+280),""))</f>
        <v/>
      </c>
    </row>
    <row r="39" spans="1:20" ht="21" customHeight="1" x14ac:dyDescent="0.25">
      <c r="A39" s="26"/>
      <c r="B39" s="16"/>
      <c r="C39" s="16"/>
      <c r="D39" s="27">
        <f>SUM(Table3[Standard])</f>
        <v>36</v>
      </c>
      <c r="E39" s="27">
        <f>SUM(Table3[Extended])</f>
        <v>0</v>
      </c>
      <c r="F39" s="27">
        <f>SUM(Table3[wand])</f>
        <v>11</v>
      </c>
      <c r="G39" s="27">
        <f>SUM(Table3[Single hooks])</f>
        <v>226</v>
      </c>
      <c r="H39" s="27"/>
      <c r="I39" s="27"/>
      <c r="J39" s="27"/>
      <c r="K39" s="27">
        <f>SUM(Table3[Fabric])</f>
        <v>56500</v>
      </c>
    </row>
    <row r="43" spans="1:20" x14ac:dyDescent="0.25">
      <c r="R43" s="8" t="s">
        <v>22</v>
      </c>
      <c r="S43" s="20">
        <v>1</v>
      </c>
      <c r="T43" s="6">
        <v>4</v>
      </c>
    </row>
    <row r="44" spans="1:20" x14ac:dyDescent="0.25">
      <c r="R44" s="8" t="s">
        <v>30</v>
      </c>
      <c r="S44" s="20">
        <v>2751</v>
      </c>
      <c r="T44" s="6">
        <v>5</v>
      </c>
    </row>
    <row r="45" spans="1:20" x14ac:dyDescent="0.25">
      <c r="R45" s="8" t="s">
        <v>23</v>
      </c>
      <c r="S45" s="20">
        <v>3751</v>
      </c>
      <c r="T45" s="6">
        <v>6</v>
      </c>
    </row>
    <row r="46" spans="1:20" x14ac:dyDescent="0.25">
      <c r="R46" s="8" t="s">
        <v>24</v>
      </c>
      <c r="S46" s="20">
        <v>4751</v>
      </c>
      <c r="T46" s="6">
        <v>7</v>
      </c>
    </row>
    <row r="47" spans="1:20" x14ac:dyDescent="0.25">
      <c r="R47" s="8" t="s">
        <v>25</v>
      </c>
      <c r="S47" s="20">
        <v>5751</v>
      </c>
      <c r="T47" s="6">
        <v>8</v>
      </c>
    </row>
    <row r="48" spans="1:20" x14ac:dyDescent="0.25">
      <c r="R48" s="8" t="s">
        <v>26</v>
      </c>
      <c r="S48" s="20">
        <v>6751</v>
      </c>
      <c r="T48" s="6">
        <v>9</v>
      </c>
    </row>
    <row r="49" spans="13:20" x14ac:dyDescent="0.25">
      <c r="R49" s="8" t="s">
        <v>27</v>
      </c>
      <c r="S49" s="20">
        <v>7751</v>
      </c>
      <c r="T49" s="6">
        <v>10</v>
      </c>
    </row>
    <row r="50" spans="13:20" x14ac:dyDescent="0.25">
      <c r="R50" s="8" t="s">
        <v>35</v>
      </c>
      <c r="S50" s="20">
        <v>8751</v>
      </c>
      <c r="T50" s="6">
        <v>11</v>
      </c>
    </row>
    <row r="51" spans="13:20" x14ac:dyDescent="0.25">
      <c r="R51" s="8" t="s">
        <v>36</v>
      </c>
      <c r="S51" s="20">
        <v>9751</v>
      </c>
      <c r="T51" s="6">
        <v>12</v>
      </c>
    </row>
    <row r="52" spans="13:20" x14ac:dyDescent="0.25">
      <c r="R52" s="8" t="s">
        <v>37</v>
      </c>
      <c r="S52" s="20">
        <v>10751</v>
      </c>
      <c r="T52" s="6">
        <v>13</v>
      </c>
    </row>
    <row r="57" spans="13:20" ht="15.75" thickBot="1" x14ac:dyDescent="0.3"/>
    <row r="58" spans="13:20" ht="45.75" thickBot="1" x14ac:dyDescent="0.3">
      <c r="R58" s="11" t="s">
        <v>28</v>
      </c>
      <c r="S58" s="14" t="s">
        <v>31</v>
      </c>
      <c r="T58" s="9" t="s">
        <v>29</v>
      </c>
    </row>
    <row r="59" spans="13:20" ht="15.75" thickBot="1" x14ac:dyDescent="0.3">
      <c r="M59" t="s">
        <v>56</v>
      </c>
      <c r="R59" s="12">
        <v>2</v>
      </c>
      <c r="S59" s="15">
        <f>1000*R59</f>
        <v>2000</v>
      </c>
      <c r="T59" s="10">
        <v>4</v>
      </c>
    </row>
    <row r="60" spans="13:20" ht="15.75" thickBot="1" x14ac:dyDescent="0.3">
      <c r="R60" s="12">
        <v>2.25</v>
      </c>
      <c r="S60" s="15">
        <f t="shared" ref="S60:S99" si="0">1000*R60</f>
        <v>2250</v>
      </c>
      <c r="T60" s="10">
        <v>4</v>
      </c>
    </row>
    <row r="61" spans="13:20" ht="15.75" thickBot="1" x14ac:dyDescent="0.3">
      <c r="R61" s="12">
        <v>2.5</v>
      </c>
      <c r="S61" s="15">
        <f t="shared" si="0"/>
        <v>2500</v>
      </c>
      <c r="T61" s="10">
        <v>4</v>
      </c>
    </row>
    <row r="62" spans="13:20" ht="15.75" thickBot="1" x14ac:dyDescent="0.3">
      <c r="R62" s="12">
        <v>2.75</v>
      </c>
      <c r="S62" s="15">
        <f t="shared" si="0"/>
        <v>2750</v>
      </c>
      <c r="T62" s="10">
        <v>4</v>
      </c>
    </row>
    <row r="63" spans="13:20" ht="15.75" thickBot="1" x14ac:dyDescent="0.3">
      <c r="R63" s="12">
        <v>3</v>
      </c>
      <c r="S63" s="15">
        <f t="shared" si="0"/>
        <v>3000</v>
      </c>
      <c r="T63" s="10">
        <v>5</v>
      </c>
    </row>
    <row r="64" spans="13:20" ht="15.75" thickBot="1" x14ac:dyDescent="0.3">
      <c r="R64" s="12">
        <v>3.25</v>
      </c>
      <c r="S64" s="15">
        <f t="shared" si="0"/>
        <v>3250</v>
      </c>
      <c r="T64" s="10">
        <v>5</v>
      </c>
    </row>
    <row r="65" spans="18:20" ht="15.75" thickBot="1" x14ac:dyDescent="0.3">
      <c r="R65" s="12">
        <v>3.5</v>
      </c>
      <c r="S65" s="15">
        <f t="shared" si="0"/>
        <v>3500</v>
      </c>
      <c r="T65" s="10">
        <v>5</v>
      </c>
    </row>
    <row r="66" spans="18:20" ht="15.75" thickBot="1" x14ac:dyDescent="0.3">
      <c r="R66" s="12">
        <v>3.75</v>
      </c>
      <c r="S66" s="15">
        <f t="shared" si="0"/>
        <v>3750</v>
      </c>
      <c r="T66" s="10">
        <v>5</v>
      </c>
    </row>
    <row r="67" spans="18:20" ht="15.75" thickBot="1" x14ac:dyDescent="0.3">
      <c r="R67" s="12">
        <v>4</v>
      </c>
      <c r="S67" s="15">
        <f t="shared" si="0"/>
        <v>4000</v>
      </c>
      <c r="T67" s="10">
        <v>6</v>
      </c>
    </row>
    <row r="68" spans="18:20" ht="15.75" thickBot="1" x14ac:dyDescent="0.3">
      <c r="R68" s="12">
        <v>4.25</v>
      </c>
      <c r="S68" s="15">
        <f t="shared" si="0"/>
        <v>4250</v>
      </c>
      <c r="T68" s="10">
        <v>6</v>
      </c>
    </row>
    <row r="69" spans="18:20" ht="15.75" thickBot="1" x14ac:dyDescent="0.3">
      <c r="R69" s="12">
        <v>4.5</v>
      </c>
      <c r="S69" s="15">
        <f t="shared" si="0"/>
        <v>4500</v>
      </c>
      <c r="T69" s="10">
        <v>6</v>
      </c>
    </row>
    <row r="70" spans="18:20" ht="15.75" thickBot="1" x14ac:dyDescent="0.3">
      <c r="R70" s="12">
        <v>4.75</v>
      </c>
      <c r="S70" s="15">
        <f t="shared" si="0"/>
        <v>4750</v>
      </c>
      <c r="T70" s="10">
        <v>6</v>
      </c>
    </row>
    <row r="71" spans="18:20" ht="15.75" thickBot="1" x14ac:dyDescent="0.3">
      <c r="R71" s="12">
        <v>5</v>
      </c>
      <c r="S71" s="15">
        <f t="shared" si="0"/>
        <v>5000</v>
      </c>
      <c r="T71" s="10">
        <v>7</v>
      </c>
    </row>
    <row r="72" spans="18:20" ht="15.75" thickBot="1" x14ac:dyDescent="0.3">
      <c r="R72" s="12">
        <v>5.25</v>
      </c>
      <c r="S72" s="15">
        <f t="shared" si="0"/>
        <v>5250</v>
      </c>
      <c r="T72" s="10">
        <v>7</v>
      </c>
    </row>
    <row r="73" spans="18:20" ht="15.75" thickBot="1" x14ac:dyDescent="0.3">
      <c r="R73" s="12">
        <v>5.5</v>
      </c>
      <c r="S73" s="15">
        <f t="shared" si="0"/>
        <v>5500</v>
      </c>
      <c r="T73" s="10">
        <v>7</v>
      </c>
    </row>
    <row r="74" spans="18:20" ht="15.75" thickBot="1" x14ac:dyDescent="0.3">
      <c r="R74" s="12">
        <v>5.75</v>
      </c>
      <c r="S74" s="15">
        <f t="shared" si="0"/>
        <v>5750</v>
      </c>
      <c r="T74" s="10">
        <v>7</v>
      </c>
    </row>
    <row r="75" spans="18:20" ht="15.75" thickBot="1" x14ac:dyDescent="0.3">
      <c r="R75" s="12">
        <v>6</v>
      </c>
      <c r="S75" s="15">
        <f t="shared" si="0"/>
        <v>6000</v>
      </c>
      <c r="T75" s="10">
        <v>8</v>
      </c>
    </row>
    <row r="76" spans="18:20" ht="15.75" thickBot="1" x14ac:dyDescent="0.3">
      <c r="R76" s="12">
        <v>6.25</v>
      </c>
      <c r="S76" s="15">
        <f t="shared" si="0"/>
        <v>6250</v>
      </c>
      <c r="T76" s="10">
        <v>8</v>
      </c>
    </row>
    <row r="77" spans="18:20" ht="15.75" thickBot="1" x14ac:dyDescent="0.3">
      <c r="R77" s="12">
        <v>6.5</v>
      </c>
      <c r="S77" s="15">
        <f t="shared" si="0"/>
        <v>6500</v>
      </c>
      <c r="T77" s="10">
        <v>8</v>
      </c>
    </row>
    <row r="78" spans="18:20" ht="15.75" thickBot="1" x14ac:dyDescent="0.3">
      <c r="R78" s="12">
        <v>6.75</v>
      </c>
      <c r="S78" s="15">
        <f t="shared" si="0"/>
        <v>6750</v>
      </c>
      <c r="T78" s="10">
        <v>8</v>
      </c>
    </row>
    <row r="79" spans="18:20" ht="15.75" thickBot="1" x14ac:dyDescent="0.3">
      <c r="R79" s="12">
        <v>7</v>
      </c>
      <c r="S79" s="15">
        <f t="shared" si="0"/>
        <v>7000</v>
      </c>
      <c r="T79" s="10">
        <v>9</v>
      </c>
    </row>
    <row r="80" spans="18:20" ht="15.75" thickBot="1" x14ac:dyDescent="0.3">
      <c r="R80" s="12">
        <v>7.25</v>
      </c>
      <c r="S80" s="15">
        <f t="shared" si="0"/>
        <v>7250</v>
      </c>
      <c r="T80" s="10">
        <v>9</v>
      </c>
    </row>
    <row r="81" spans="18:20" ht="15.75" thickBot="1" x14ac:dyDescent="0.3">
      <c r="R81" s="12">
        <v>7.5</v>
      </c>
      <c r="S81" s="15">
        <f t="shared" si="0"/>
        <v>7500</v>
      </c>
      <c r="T81" s="10">
        <v>9</v>
      </c>
    </row>
    <row r="82" spans="18:20" ht="15.75" thickBot="1" x14ac:dyDescent="0.3">
      <c r="R82" s="12">
        <v>7.75</v>
      </c>
      <c r="S82" s="15">
        <f t="shared" si="0"/>
        <v>7750</v>
      </c>
      <c r="T82" s="10">
        <v>9</v>
      </c>
    </row>
    <row r="83" spans="18:20" ht="15.75" thickBot="1" x14ac:dyDescent="0.3">
      <c r="R83" s="12">
        <v>8</v>
      </c>
      <c r="S83" s="15">
        <f t="shared" si="0"/>
        <v>8000</v>
      </c>
      <c r="T83" s="10">
        <v>10</v>
      </c>
    </row>
    <row r="84" spans="18:20" ht="15.75" thickBot="1" x14ac:dyDescent="0.3">
      <c r="R84" s="12">
        <v>8.25</v>
      </c>
      <c r="S84" s="15">
        <f t="shared" si="0"/>
        <v>8250</v>
      </c>
      <c r="T84" s="10">
        <v>10</v>
      </c>
    </row>
    <row r="85" spans="18:20" ht="15.75" thickBot="1" x14ac:dyDescent="0.3">
      <c r="R85" s="12">
        <v>8.5</v>
      </c>
      <c r="S85" s="15">
        <f t="shared" si="0"/>
        <v>8500</v>
      </c>
      <c r="T85" s="10">
        <v>10</v>
      </c>
    </row>
    <row r="86" spans="18:20" ht="15.75" thickBot="1" x14ac:dyDescent="0.3">
      <c r="R86" s="12">
        <v>8.75</v>
      </c>
      <c r="S86" s="15">
        <f t="shared" si="0"/>
        <v>8750</v>
      </c>
      <c r="T86" s="10">
        <v>10</v>
      </c>
    </row>
    <row r="87" spans="18:20" ht="15.75" thickBot="1" x14ac:dyDescent="0.3">
      <c r="R87" s="12">
        <v>9</v>
      </c>
      <c r="S87" s="15">
        <f t="shared" si="0"/>
        <v>9000</v>
      </c>
      <c r="T87" s="10">
        <v>11</v>
      </c>
    </row>
    <row r="88" spans="18:20" ht="15.75" thickBot="1" x14ac:dyDescent="0.3">
      <c r="R88" s="12">
        <v>9.25</v>
      </c>
      <c r="S88" s="15">
        <f t="shared" si="0"/>
        <v>9250</v>
      </c>
      <c r="T88" s="10">
        <v>11</v>
      </c>
    </row>
    <row r="89" spans="18:20" ht="15.75" thickBot="1" x14ac:dyDescent="0.3">
      <c r="R89" s="12">
        <v>9.5</v>
      </c>
      <c r="S89" s="15">
        <f t="shared" si="0"/>
        <v>9500</v>
      </c>
      <c r="T89" s="10">
        <v>11</v>
      </c>
    </row>
    <row r="90" spans="18:20" ht="15.75" thickBot="1" x14ac:dyDescent="0.3">
      <c r="R90" s="12">
        <v>9.75</v>
      </c>
      <c r="S90" s="15">
        <f t="shared" si="0"/>
        <v>9750</v>
      </c>
      <c r="T90" s="10">
        <v>11</v>
      </c>
    </row>
    <row r="91" spans="18:20" ht="15.75" thickBot="1" x14ac:dyDescent="0.3">
      <c r="R91" s="12">
        <v>10</v>
      </c>
      <c r="S91" s="15">
        <f t="shared" si="0"/>
        <v>10000</v>
      </c>
      <c r="T91" s="10">
        <v>12</v>
      </c>
    </row>
    <row r="92" spans="18:20" ht="15.75" thickBot="1" x14ac:dyDescent="0.3">
      <c r="R92" s="12">
        <v>10.25</v>
      </c>
      <c r="S92" s="15">
        <f t="shared" si="0"/>
        <v>10250</v>
      </c>
      <c r="T92" s="10">
        <v>12</v>
      </c>
    </row>
    <row r="93" spans="18:20" ht="15.75" thickBot="1" x14ac:dyDescent="0.3">
      <c r="R93" s="12">
        <v>10.5</v>
      </c>
      <c r="S93" s="15">
        <f t="shared" si="0"/>
        <v>10500</v>
      </c>
      <c r="T93" s="10">
        <v>12</v>
      </c>
    </row>
    <row r="94" spans="18:20" ht="15.75" thickBot="1" x14ac:dyDescent="0.3">
      <c r="R94" s="12">
        <v>10.75</v>
      </c>
      <c r="S94" s="15">
        <f t="shared" si="0"/>
        <v>10750</v>
      </c>
      <c r="T94" s="10">
        <v>12</v>
      </c>
    </row>
    <row r="95" spans="18:20" ht="15.75" thickBot="1" x14ac:dyDescent="0.3">
      <c r="R95" s="12">
        <v>11</v>
      </c>
      <c r="S95" s="15">
        <f t="shared" si="0"/>
        <v>11000</v>
      </c>
      <c r="T95" s="10">
        <v>13</v>
      </c>
    </row>
    <row r="96" spans="18:20" ht="15.75" thickBot="1" x14ac:dyDescent="0.3">
      <c r="R96" s="12">
        <v>11.25</v>
      </c>
      <c r="S96" s="15">
        <f t="shared" si="0"/>
        <v>11250</v>
      </c>
      <c r="T96" s="10">
        <v>13</v>
      </c>
    </row>
    <row r="97" spans="18:20" ht="15.75" thickBot="1" x14ac:dyDescent="0.3">
      <c r="R97" s="12">
        <v>11.5</v>
      </c>
      <c r="S97" s="15">
        <f t="shared" si="0"/>
        <v>11500</v>
      </c>
      <c r="T97" s="10">
        <v>13</v>
      </c>
    </row>
    <row r="98" spans="18:20" ht="15.75" thickBot="1" x14ac:dyDescent="0.3">
      <c r="R98" s="12">
        <v>11.75</v>
      </c>
      <c r="S98" s="15">
        <f t="shared" si="0"/>
        <v>11750</v>
      </c>
      <c r="T98" s="10">
        <v>13</v>
      </c>
    </row>
    <row r="99" spans="18:20" ht="15.75" thickBot="1" x14ac:dyDescent="0.3">
      <c r="R99" s="12">
        <v>12</v>
      </c>
      <c r="S99" s="15">
        <f t="shared" si="0"/>
        <v>12000</v>
      </c>
      <c r="T99" s="10">
        <v>14</v>
      </c>
    </row>
  </sheetData>
  <sheetProtection algorithmName="SHA-512" hashValue="v3lohKvcOFFvg4foRTWUHtsRpEkxH2IGCxRDhWbO2skOtvG4IuN2KxDH6U1OFudgageOWzuaPvInhaZMIRBvGQ==" saltValue="B8F5oamnatTVAdc3Jwlvyw==" spinCount="100000" sheet="1" objects="1" scenarios="1"/>
  <phoneticPr fontId="8" type="noConversion"/>
  <pageMargins left="0.7" right="0.7" top="0.75" bottom="0.75" header="0.3" footer="0.3"/>
  <ignoredErrors>
    <ignoredError sqref="A3:A7 A8:A38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97ED-8632-4A7E-8380-16398FBCCBF7}">
  <sheetPr codeName="Sheet3"/>
  <dimension ref="C3:F539"/>
  <sheetViews>
    <sheetView zoomScale="99" zoomScaleNormal="99" workbookViewId="0">
      <selection activeCell="D30" sqref="D30"/>
    </sheetView>
  </sheetViews>
  <sheetFormatPr defaultColWidth="8.7109375" defaultRowHeight="15" x14ac:dyDescent="0.25"/>
  <cols>
    <col min="4" max="4" width="13.42578125" customWidth="1"/>
    <col min="5" max="5" width="11.140625" customWidth="1"/>
  </cols>
  <sheetData>
    <row r="3" spans="3:6" ht="19.149999999999999" customHeight="1" x14ac:dyDescent="0.25">
      <c r="C3" s="6" t="s">
        <v>9</v>
      </c>
      <c r="D3" s="30" t="s">
        <v>50</v>
      </c>
      <c r="E3" s="30" t="s">
        <v>49</v>
      </c>
      <c r="F3" s="30" t="s">
        <v>51</v>
      </c>
    </row>
    <row r="4" spans="3:6" ht="19.149999999999999" customHeight="1" x14ac:dyDescent="0.25">
      <c r="C4" s="6">
        <v>450</v>
      </c>
      <c r="D4" s="6">
        <f t="shared" ref="D4:D33" si="0">$C4/54</f>
        <v>8.3333333333333339</v>
      </c>
      <c r="E4" s="6">
        <f t="shared" ref="E4:E32" si="1">ROUND($C4/54,0)</f>
        <v>8</v>
      </c>
      <c r="F4" s="6">
        <f t="shared" ref="F4:F33" si="2">IF(ISEVEN(($E4)),$E4,EVEN($E4))</f>
        <v>8</v>
      </c>
    </row>
    <row r="5" spans="3:6" ht="19.149999999999999" customHeight="1" x14ac:dyDescent="0.25">
      <c r="C5" s="6">
        <v>460</v>
      </c>
      <c r="D5" s="6">
        <f>$C5/54</f>
        <v>8.518518518518519</v>
      </c>
      <c r="E5" s="6">
        <f t="shared" si="1"/>
        <v>9</v>
      </c>
      <c r="F5" s="6">
        <f t="shared" si="2"/>
        <v>10</v>
      </c>
    </row>
    <row r="6" spans="3:6" ht="19.149999999999999" customHeight="1" x14ac:dyDescent="0.25">
      <c r="C6" s="6">
        <v>470</v>
      </c>
      <c r="D6" s="6">
        <f t="shared" si="0"/>
        <v>8.7037037037037042</v>
      </c>
      <c r="E6" s="6">
        <f t="shared" si="1"/>
        <v>9</v>
      </c>
      <c r="F6" s="6">
        <f t="shared" si="2"/>
        <v>10</v>
      </c>
    </row>
    <row r="7" spans="3:6" ht="19.149999999999999" customHeight="1" x14ac:dyDescent="0.25">
      <c r="C7" s="6">
        <v>480</v>
      </c>
      <c r="D7" s="6">
        <f t="shared" si="0"/>
        <v>8.8888888888888893</v>
      </c>
      <c r="E7" s="6">
        <f t="shared" si="1"/>
        <v>9</v>
      </c>
      <c r="F7" s="6">
        <f t="shared" si="2"/>
        <v>10</v>
      </c>
    </row>
    <row r="8" spans="3:6" ht="19.149999999999999" customHeight="1" x14ac:dyDescent="0.25">
      <c r="C8" s="6">
        <v>490</v>
      </c>
      <c r="D8" s="6">
        <f t="shared" si="0"/>
        <v>9.0740740740740744</v>
      </c>
      <c r="E8" s="6">
        <f t="shared" si="1"/>
        <v>9</v>
      </c>
      <c r="F8" s="6">
        <f t="shared" si="2"/>
        <v>10</v>
      </c>
    </row>
    <row r="9" spans="3:6" ht="19.149999999999999" customHeight="1" x14ac:dyDescent="0.25">
      <c r="C9" s="6">
        <v>500</v>
      </c>
      <c r="D9" s="6">
        <f t="shared" si="0"/>
        <v>9.2592592592592595</v>
      </c>
      <c r="E9" s="6">
        <f t="shared" si="1"/>
        <v>9</v>
      </c>
      <c r="F9" s="6">
        <f t="shared" si="2"/>
        <v>10</v>
      </c>
    </row>
    <row r="10" spans="3:6" ht="19.149999999999999" customHeight="1" x14ac:dyDescent="0.25">
      <c r="C10" s="6">
        <v>510</v>
      </c>
      <c r="D10" s="6">
        <f t="shared" si="0"/>
        <v>9.4444444444444446</v>
      </c>
      <c r="E10" s="6">
        <f t="shared" si="1"/>
        <v>9</v>
      </c>
      <c r="F10" s="6">
        <f t="shared" si="2"/>
        <v>10</v>
      </c>
    </row>
    <row r="11" spans="3:6" ht="19.149999999999999" customHeight="1" x14ac:dyDescent="0.25">
      <c r="C11" s="6">
        <v>520</v>
      </c>
      <c r="D11" s="6">
        <f t="shared" si="0"/>
        <v>9.6296296296296298</v>
      </c>
      <c r="E11" s="6">
        <f t="shared" si="1"/>
        <v>10</v>
      </c>
      <c r="F11" s="6">
        <f t="shared" si="2"/>
        <v>10</v>
      </c>
    </row>
    <row r="12" spans="3:6" ht="19.149999999999999" customHeight="1" x14ac:dyDescent="0.25">
      <c r="C12" s="6">
        <v>530</v>
      </c>
      <c r="D12" s="6">
        <f t="shared" si="0"/>
        <v>9.8148148148148149</v>
      </c>
      <c r="E12" s="6">
        <f t="shared" si="1"/>
        <v>10</v>
      </c>
      <c r="F12" s="6">
        <f t="shared" si="2"/>
        <v>10</v>
      </c>
    </row>
    <row r="13" spans="3:6" ht="19.149999999999999" customHeight="1" x14ac:dyDescent="0.25">
      <c r="C13" s="6">
        <v>540</v>
      </c>
      <c r="D13" s="6">
        <f t="shared" si="0"/>
        <v>10</v>
      </c>
      <c r="E13" s="6">
        <f t="shared" si="1"/>
        <v>10</v>
      </c>
      <c r="F13" s="6">
        <f t="shared" si="2"/>
        <v>10</v>
      </c>
    </row>
    <row r="14" spans="3:6" ht="19.149999999999999" customHeight="1" x14ac:dyDescent="0.25">
      <c r="C14" s="6">
        <v>550</v>
      </c>
      <c r="D14" s="6">
        <f t="shared" si="0"/>
        <v>10.185185185185185</v>
      </c>
      <c r="E14" s="6">
        <f t="shared" si="1"/>
        <v>10</v>
      </c>
      <c r="F14" s="6">
        <f t="shared" si="2"/>
        <v>10</v>
      </c>
    </row>
    <row r="15" spans="3:6" ht="19.149999999999999" customHeight="1" x14ac:dyDescent="0.25">
      <c r="C15" s="6">
        <v>560</v>
      </c>
      <c r="D15" s="6">
        <f t="shared" si="0"/>
        <v>10.37037037037037</v>
      </c>
      <c r="E15" s="6">
        <f t="shared" si="1"/>
        <v>10</v>
      </c>
      <c r="F15" s="6">
        <f t="shared" si="2"/>
        <v>10</v>
      </c>
    </row>
    <row r="16" spans="3:6" ht="19.149999999999999" customHeight="1" x14ac:dyDescent="0.25">
      <c r="C16" s="6">
        <v>570</v>
      </c>
      <c r="D16" s="6">
        <f t="shared" si="0"/>
        <v>10.555555555555555</v>
      </c>
      <c r="E16" s="6">
        <f t="shared" si="1"/>
        <v>11</v>
      </c>
      <c r="F16" s="6">
        <f t="shared" si="2"/>
        <v>12</v>
      </c>
    </row>
    <row r="17" spans="3:6" ht="19.149999999999999" customHeight="1" x14ac:dyDescent="0.25">
      <c r="C17" s="6">
        <v>580</v>
      </c>
      <c r="D17" s="6">
        <f t="shared" si="0"/>
        <v>10.74074074074074</v>
      </c>
      <c r="E17" s="6">
        <f>ROUND($C17/54,0)</f>
        <v>11</v>
      </c>
      <c r="F17" s="6">
        <f t="shared" si="2"/>
        <v>12</v>
      </c>
    </row>
    <row r="18" spans="3:6" ht="19.149999999999999" customHeight="1" x14ac:dyDescent="0.25">
      <c r="C18" s="6">
        <v>590</v>
      </c>
      <c r="D18" s="6">
        <f t="shared" si="0"/>
        <v>10.925925925925926</v>
      </c>
      <c r="E18" s="6">
        <f t="shared" si="1"/>
        <v>11</v>
      </c>
      <c r="F18" s="6">
        <f t="shared" si="2"/>
        <v>12</v>
      </c>
    </row>
    <row r="19" spans="3:6" ht="19.149999999999999" customHeight="1" x14ac:dyDescent="0.25">
      <c r="C19" s="6">
        <v>600</v>
      </c>
      <c r="D19" s="6">
        <f t="shared" si="0"/>
        <v>11.111111111111111</v>
      </c>
      <c r="E19" s="6">
        <f t="shared" si="1"/>
        <v>11</v>
      </c>
      <c r="F19" s="6">
        <f t="shared" si="2"/>
        <v>12</v>
      </c>
    </row>
    <row r="20" spans="3:6" ht="19.149999999999999" customHeight="1" x14ac:dyDescent="0.25">
      <c r="C20" s="6">
        <v>610</v>
      </c>
      <c r="D20" s="6">
        <f t="shared" si="0"/>
        <v>11.296296296296296</v>
      </c>
      <c r="E20" s="6">
        <f t="shared" si="1"/>
        <v>11</v>
      </c>
      <c r="F20" s="6">
        <f t="shared" si="2"/>
        <v>12</v>
      </c>
    </row>
    <row r="21" spans="3:6" ht="19.149999999999999" customHeight="1" x14ac:dyDescent="0.25">
      <c r="C21" s="6">
        <v>620</v>
      </c>
      <c r="D21" s="6">
        <f t="shared" si="0"/>
        <v>11.481481481481481</v>
      </c>
      <c r="E21" s="6">
        <f t="shared" si="1"/>
        <v>11</v>
      </c>
      <c r="F21" s="6">
        <f t="shared" si="2"/>
        <v>12</v>
      </c>
    </row>
    <row r="22" spans="3:6" ht="19.149999999999999" customHeight="1" x14ac:dyDescent="0.25">
      <c r="C22" s="6">
        <v>630</v>
      </c>
      <c r="D22" s="6">
        <f t="shared" si="0"/>
        <v>11.666666666666666</v>
      </c>
      <c r="E22" s="6">
        <f t="shared" si="1"/>
        <v>12</v>
      </c>
      <c r="F22" s="6">
        <f t="shared" si="2"/>
        <v>12</v>
      </c>
    </row>
    <row r="23" spans="3:6" ht="19.149999999999999" customHeight="1" x14ac:dyDescent="0.25">
      <c r="C23" s="6">
        <v>640</v>
      </c>
      <c r="D23" s="6">
        <f t="shared" si="0"/>
        <v>11.851851851851851</v>
      </c>
      <c r="E23" s="6">
        <f t="shared" si="1"/>
        <v>12</v>
      </c>
      <c r="F23" s="6">
        <f t="shared" si="2"/>
        <v>12</v>
      </c>
    </row>
    <row r="24" spans="3:6" ht="19.149999999999999" customHeight="1" x14ac:dyDescent="0.25">
      <c r="C24" s="6">
        <v>650</v>
      </c>
      <c r="D24" s="6">
        <f t="shared" si="0"/>
        <v>12.037037037037036</v>
      </c>
      <c r="E24" s="6">
        <f t="shared" si="1"/>
        <v>12</v>
      </c>
      <c r="F24" s="6">
        <f t="shared" si="2"/>
        <v>12</v>
      </c>
    </row>
    <row r="25" spans="3:6" ht="19.149999999999999" customHeight="1" x14ac:dyDescent="0.25">
      <c r="C25" s="6">
        <v>660</v>
      </c>
      <c r="D25" s="6">
        <f t="shared" si="0"/>
        <v>12.222222222222221</v>
      </c>
      <c r="E25" s="6">
        <f t="shared" si="1"/>
        <v>12</v>
      </c>
      <c r="F25" s="6">
        <f t="shared" si="2"/>
        <v>12</v>
      </c>
    </row>
    <row r="26" spans="3:6" ht="19.149999999999999" customHeight="1" x14ac:dyDescent="0.25">
      <c r="C26" s="6">
        <v>670</v>
      </c>
      <c r="D26" s="6">
        <f t="shared" si="0"/>
        <v>12.407407407407407</v>
      </c>
      <c r="E26" s="6">
        <f t="shared" si="1"/>
        <v>12</v>
      </c>
      <c r="F26" s="6">
        <f t="shared" si="2"/>
        <v>12</v>
      </c>
    </row>
    <row r="27" spans="3:6" ht="19.149999999999999" customHeight="1" x14ac:dyDescent="0.25">
      <c r="C27" s="6">
        <v>680</v>
      </c>
      <c r="D27" s="6">
        <f t="shared" si="0"/>
        <v>12.592592592592593</v>
      </c>
      <c r="E27" s="6">
        <f t="shared" si="1"/>
        <v>13</v>
      </c>
      <c r="F27" s="6">
        <f t="shared" si="2"/>
        <v>14</v>
      </c>
    </row>
    <row r="28" spans="3:6" ht="19.149999999999999" customHeight="1" x14ac:dyDescent="0.25">
      <c r="C28" s="6">
        <v>690</v>
      </c>
      <c r="D28" s="6">
        <f t="shared" si="0"/>
        <v>12.777777777777779</v>
      </c>
      <c r="E28" s="6">
        <f t="shared" si="1"/>
        <v>13</v>
      </c>
      <c r="F28" s="6">
        <f t="shared" si="2"/>
        <v>14</v>
      </c>
    </row>
    <row r="29" spans="3:6" ht="19.149999999999999" customHeight="1" x14ac:dyDescent="0.25">
      <c r="C29" s="6">
        <v>700</v>
      </c>
      <c r="D29" s="6">
        <f t="shared" si="0"/>
        <v>12.962962962962964</v>
      </c>
      <c r="E29" s="6">
        <f t="shared" si="1"/>
        <v>13</v>
      </c>
      <c r="F29" s="6">
        <f t="shared" si="2"/>
        <v>14</v>
      </c>
    </row>
    <row r="30" spans="3:6" ht="19.149999999999999" customHeight="1" x14ac:dyDescent="0.25">
      <c r="C30" s="6">
        <v>710</v>
      </c>
      <c r="D30" s="6">
        <f t="shared" si="0"/>
        <v>13.148148148148149</v>
      </c>
      <c r="E30" s="6">
        <f t="shared" si="1"/>
        <v>13</v>
      </c>
      <c r="F30" s="6">
        <f t="shared" si="2"/>
        <v>14</v>
      </c>
    </row>
    <row r="31" spans="3:6" ht="19.149999999999999" customHeight="1" x14ac:dyDescent="0.25">
      <c r="C31" s="6">
        <v>720</v>
      </c>
      <c r="D31" s="6">
        <f t="shared" si="0"/>
        <v>13.333333333333334</v>
      </c>
      <c r="E31" s="6">
        <f t="shared" si="1"/>
        <v>13</v>
      </c>
      <c r="F31" s="6">
        <f t="shared" si="2"/>
        <v>14</v>
      </c>
    </row>
    <row r="32" spans="3:6" ht="19.149999999999999" customHeight="1" x14ac:dyDescent="0.25">
      <c r="C32" s="6">
        <v>730</v>
      </c>
      <c r="D32" s="6">
        <f t="shared" si="0"/>
        <v>13.518518518518519</v>
      </c>
      <c r="E32" s="6">
        <f t="shared" si="1"/>
        <v>14</v>
      </c>
      <c r="F32" s="6">
        <f t="shared" si="2"/>
        <v>14</v>
      </c>
    </row>
    <row r="33" spans="3:6" ht="19.149999999999999" customHeight="1" x14ac:dyDescent="0.25">
      <c r="C33" s="6">
        <v>740</v>
      </c>
      <c r="D33" s="6">
        <f t="shared" si="0"/>
        <v>13.703703703703704</v>
      </c>
      <c r="E33" s="6">
        <f>ROUND($C33/54,0)</f>
        <v>14</v>
      </c>
      <c r="F33" s="6">
        <f t="shared" si="2"/>
        <v>14</v>
      </c>
    </row>
    <row r="34" spans="3:6" x14ac:dyDescent="0.25">
      <c r="C34" s="6">
        <v>750</v>
      </c>
      <c r="D34" s="6">
        <f>$C34/54</f>
        <v>13.888888888888889</v>
      </c>
      <c r="E34" s="6">
        <f>ROUND($C34/54,0)</f>
        <v>14</v>
      </c>
      <c r="F34" s="6">
        <f>IF(ISEVEN(($E34)),$E34,EVEN($E34))</f>
        <v>14</v>
      </c>
    </row>
    <row r="35" spans="3:6" x14ac:dyDescent="0.25">
      <c r="C35" s="6">
        <v>760</v>
      </c>
      <c r="D35" s="6">
        <f t="shared" ref="D35:D98" si="3">$C35/54</f>
        <v>14.074074074074074</v>
      </c>
      <c r="E35" s="6">
        <v>15</v>
      </c>
      <c r="F35" s="6">
        <f t="shared" ref="F35:F98" si="4">IF(ISEVEN(($E35)),$E35,EVEN($E35))</f>
        <v>16</v>
      </c>
    </row>
    <row r="36" spans="3:6" x14ac:dyDescent="0.25">
      <c r="C36" s="6">
        <v>770</v>
      </c>
      <c r="D36" s="6">
        <f t="shared" si="3"/>
        <v>14.25925925925926</v>
      </c>
      <c r="E36" s="6">
        <v>15</v>
      </c>
      <c r="F36" s="6">
        <f t="shared" si="4"/>
        <v>16</v>
      </c>
    </row>
    <row r="37" spans="3:6" x14ac:dyDescent="0.25">
      <c r="C37" s="6">
        <v>780</v>
      </c>
      <c r="D37" s="6">
        <f t="shared" si="3"/>
        <v>14.444444444444445</v>
      </c>
      <c r="E37" s="6">
        <v>15</v>
      </c>
      <c r="F37" s="6">
        <f t="shared" si="4"/>
        <v>16</v>
      </c>
    </row>
    <row r="38" spans="3:6" x14ac:dyDescent="0.25">
      <c r="C38" s="6">
        <v>790</v>
      </c>
      <c r="D38" s="6">
        <f t="shared" si="3"/>
        <v>14.62962962962963</v>
      </c>
      <c r="E38" s="6">
        <f t="shared" ref="E38:E98" si="5">ROUND($C38/54,0)</f>
        <v>15</v>
      </c>
      <c r="F38" s="6">
        <f t="shared" si="4"/>
        <v>16</v>
      </c>
    </row>
    <row r="39" spans="3:6" x14ac:dyDescent="0.25">
      <c r="C39" s="6">
        <v>800</v>
      </c>
      <c r="D39" s="6">
        <f t="shared" si="3"/>
        <v>14.814814814814815</v>
      </c>
      <c r="E39" s="6">
        <f t="shared" si="5"/>
        <v>15</v>
      </c>
      <c r="F39" s="6">
        <f t="shared" si="4"/>
        <v>16</v>
      </c>
    </row>
    <row r="40" spans="3:6" x14ac:dyDescent="0.25">
      <c r="C40" s="6">
        <v>810</v>
      </c>
      <c r="D40" s="6">
        <f t="shared" si="3"/>
        <v>15</v>
      </c>
      <c r="E40" s="6">
        <f t="shared" si="5"/>
        <v>15</v>
      </c>
      <c r="F40" s="6">
        <f t="shared" si="4"/>
        <v>16</v>
      </c>
    </row>
    <row r="41" spans="3:6" x14ac:dyDescent="0.25">
      <c r="C41" s="6">
        <v>820</v>
      </c>
      <c r="D41" s="6">
        <f t="shared" si="3"/>
        <v>15.185185185185185</v>
      </c>
      <c r="E41" s="6">
        <v>15</v>
      </c>
      <c r="F41" s="6">
        <f t="shared" si="4"/>
        <v>16</v>
      </c>
    </row>
    <row r="42" spans="3:6" x14ac:dyDescent="0.25">
      <c r="C42" s="6">
        <v>830</v>
      </c>
      <c r="D42" s="6">
        <f t="shared" si="3"/>
        <v>15.37037037037037</v>
      </c>
      <c r="E42" s="6">
        <f t="shared" si="5"/>
        <v>15</v>
      </c>
      <c r="F42" s="6">
        <f t="shared" si="4"/>
        <v>16</v>
      </c>
    </row>
    <row r="43" spans="3:6" x14ac:dyDescent="0.25">
      <c r="C43" s="6">
        <v>840</v>
      </c>
      <c r="D43" s="6">
        <f t="shared" si="3"/>
        <v>15.555555555555555</v>
      </c>
      <c r="E43" s="6">
        <f t="shared" si="5"/>
        <v>16</v>
      </c>
      <c r="F43" s="6">
        <f t="shared" si="4"/>
        <v>16</v>
      </c>
    </row>
    <row r="44" spans="3:6" x14ac:dyDescent="0.25">
      <c r="C44" s="6">
        <v>850</v>
      </c>
      <c r="D44" s="6">
        <f t="shared" si="3"/>
        <v>15.74074074074074</v>
      </c>
      <c r="E44" s="6">
        <f t="shared" si="5"/>
        <v>16</v>
      </c>
      <c r="F44" s="6">
        <f t="shared" si="4"/>
        <v>16</v>
      </c>
    </row>
    <row r="45" spans="3:6" x14ac:dyDescent="0.25">
      <c r="C45" s="6">
        <v>860</v>
      </c>
      <c r="D45" s="6">
        <f t="shared" si="3"/>
        <v>15.925925925925926</v>
      </c>
      <c r="E45" s="6">
        <f t="shared" si="5"/>
        <v>16</v>
      </c>
      <c r="F45" s="6">
        <f t="shared" si="4"/>
        <v>16</v>
      </c>
    </row>
    <row r="46" spans="3:6" x14ac:dyDescent="0.25">
      <c r="C46" s="6">
        <v>870</v>
      </c>
      <c r="D46" s="6">
        <f t="shared" si="3"/>
        <v>16.111111111111111</v>
      </c>
      <c r="E46" s="6">
        <v>17</v>
      </c>
      <c r="F46" s="6">
        <f t="shared" si="4"/>
        <v>18</v>
      </c>
    </row>
    <row r="47" spans="3:6" x14ac:dyDescent="0.25">
      <c r="C47" s="6">
        <v>880</v>
      </c>
      <c r="D47" s="6">
        <f t="shared" si="3"/>
        <v>16.296296296296298</v>
      </c>
      <c r="E47" s="6">
        <v>17</v>
      </c>
      <c r="F47" s="6">
        <f t="shared" si="4"/>
        <v>18</v>
      </c>
    </row>
    <row r="48" spans="3:6" x14ac:dyDescent="0.25">
      <c r="C48" s="6">
        <v>890</v>
      </c>
      <c r="D48" s="6">
        <f t="shared" si="3"/>
        <v>16.481481481481481</v>
      </c>
      <c r="E48" s="6">
        <v>17</v>
      </c>
      <c r="F48" s="6">
        <f t="shared" si="4"/>
        <v>18</v>
      </c>
    </row>
    <row r="49" spans="3:6" x14ac:dyDescent="0.25">
      <c r="C49" s="6">
        <v>900</v>
      </c>
      <c r="D49" s="6">
        <f t="shared" si="3"/>
        <v>16.666666666666668</v>
      </c>
      <c r="E49" s="6">
        <f t="shared" si="5"/>
        <v>17</v>
      </c>
      <c r="F49" s="6">
        <f t="shared" si="4"/>
        <v>18</v>
      </c>
    </row>
    <row r="50" spans="3:6" x14ac:dyDescent="0.25">
      <c r="C50" s="6">
        <v>910</v>
      </c>
      <c r="D50" s="6">
        <f t="shared" si="3"/>
        <v>16.851851851851851</v>
      </c>
      <c r="E50" s="6">
        <f t="shared" si="5"/>
        <v>17</v>
      </c>
      <c r="F50" s="6">
        <f t="shared" si="4"/>
        <v>18</v>
      </c>
    </row>
    <row r="51" spans="3:6" x14ac:dyDescent="0.25">
      <c r="C51" s="6">
        <v>920</v>
      </c>
      <c r="D51" s="6">
        <f t="shared" si="3"/>
        <v>17.037037037037038</v>
      </c>
      <c r="E51" s="6">
        <f t="shared" si="5"/>
        <v>17</v>
      </c>
      <c r="F51" s="6">
        <f t="shared" si="4"/>
        <v>18</v>
      </c>
    </row>
    <row r="52" spans="3:6" x14ac:dyDescent="0.25">
      <c r="C52" s="6">
        <v>930</v>
      </c>
      <c r="D52" s="6">
        <f t="shared" si="3"/>
        <v>17.222222222222221</v>
      </c>
      <c r="E52" s="6">
        <f t="shared" si="5"/>
        <v>17</v>
      </c>
      <c r="F52" s="6">
        <f t="shared" si="4"/>
        <v>18</v>
      </c>
    </row>
    <row r="53" spans="3:6" x14ac:dyDescent="0.25">
      <c r="C53" s="6">
        <v>940</v>
      </c>
      <c r="D53" s="6">
        <f t="shared" si="3"/>
        <v>17.407407407407408</v>
      </c>
      <c r="E53" s="6">
        <f t="shared" si="5"/>
        <v>17</v>
      </c>
      <c r="F53" s="6">
        <f t="shared" si="4"/>
        <v>18</v>
      </c>
    </row>
    <row r="54" spans="3:6" x14ac:dyDescent="0.25">
      <c r="C54" s="6">
        <v>950</v>
      </c>
      <c r="D54" s="6">
        <f t="shared" si="3"/>
        <v>17.592592592592592</v>
      </c>
      <c r="E54" s="6">
        <f t="shared" si="5"/>
        <v>18</v>
      </c>
      <c r="F54" s="6">
        <f t="shared" si="4"/>
        <v>18</v>
      </c>
    </row>
    <row r="55" spans="3:6" x14ac:dyDescent="0.25">
      <c r="C55" s="6">
        <v>960</v>
      </c>
      <c r="D55" s="6">
        <f t="shared" si="3"/>
        <v>17.777777777777779</v>
      </c>
      <c r="E55" s="6">
        <f t="shared" si="5"/>
        <v>18</v>
      </c>
      <c r="F55" s="6">
        <f t="shared" si="4"/>
        <v>18</v>
      </c>
    </row>
    <row r="56" spans="3:6" x14ac:dyDescent="0.25">
      <c r="C56" s="6">
        <v>970</v>
      </c>
      <c r="D56" s="6">
        <f t="shared" si="3"/>
        <v>17.962962962962962</v>
      </c>
      <c r="E56" s="6">
        <f t="shared" si="5"/>
        <v>18</v>
      </c>
      <c r="F56" s="6">
        <f t="shared" si="4"/>
        <v>18</v>
      </c>
    </row>
    <row r="57" spans="3:6" x14ac:dyDescent="0.25">
      <c r="C57" s="6">
        <v>980</v>
      </c>
      <c r="D57" s="6">
        <f t="shared" si="3"/>
        <v>18.148148148148149</v>
      </c>
      <c r="E57" s="6">
        <v>20</v>
      </c>
      <c r="F57" s="6">
        <f t="shared" si="4"/>
        <v>20</v>
      </c>
    </row>
    <row r="58" spans="3:6" x14ac:dyDescent="0.25">
      <c r="C58" s="6">
        <v>990</v>
      </c>
      <c r="D58" s="6">
        <f t="shared" si="3"/>
        <v>18.333333333333332</v>
      </c>
      <c r="E58" s="6">
        <v>19</v>
      </c>
      <c r="F58" s="6">
        <f t="shared" si="4"/>
        <v>20</v>
      </c>
    </row>
    <row r="59" spans="3:6" x14ac:dyDescent="0.25">
      <c r="C59" s="6">
        <v>1000</v>
      </c>
      <c r="D59" s="6">
        <f t="shared" si="3"/>
        <v>18.518518518518519</v>
      </c>
      <c r="E59" s="6">
        <f t="shared" si="5"/>
        <v>19</v>
      </c>
      <c r="F59" s="6">
        <f t="shared" si="4"/>
        <v>20</v>
      </c>
    </row>
    <row r="60" spans="3:6" x14ac:dyDescent="0.25">
      <c r="C60" s="6">
        <v>1010</v>
      </c>
      <c r="D60" s="6">
        <f t="shared" si="3"/>
        <v>18.703703703703702</v>
      </c>
      <c r="E60" s="6">
        <f t="shared" si="5"/>
        <v>19</v>
      </c>
      <c r="F60" s="6">
        <f t="shared" si="4"/>
        <v>20</v>
      </c>
    </row>
    <row r="61" spans="3:6" x14ac:dyDescent="0.25">
      <c r="C61" s="6">
        <v>1020</v>
      </c>
      <c r="D61" s="6">
        <f t="shared" si="3"/>
        <v>18.888888888888889</v>
      </c>
      <c r="E61" s="6">
        <f t="shared" si="5"/>
        <v>19</v>
      </c>
      <c r="F61" s="6">
        <f t="shared" si="4"/>
        <v>20</v>
      </c>
    </row>
    <row r="62" spans="3:6" x14ac:dyDescent="0.25">
      <c r="C62" s="6">
        <v>1030</v>
      </c>
      <c r="D62" s="6">
        <f t="shared" si="3"/>
        <v>19.074074074074073</v>
      </c>
      <c r="E62" s="6">
        <v>20</v>
      </c>
      <c r="F62" s="6">
        <f t="shared" si="4"/>
        <v>20</v>
      </c>
    </row>
    <row r="63" spans="3:6" x14ac:dyDescent="0.25">
      <c r="C63" s="6">
        <v>1040</v>
      </c>
      <c r="D63" s="6">
        <f t="shared" si="3"/>
        <v>19.25925925925926</v>
      </c>
      <c r="E63" s="6">
        <v>20</v>
      </c>
      <c r="F63" s="6">
        <f t="shared" si="4"/>
        <v>20</v>
      </c>
    </row>
    <row r="64" spans="3:6" x14ac:dyDescent="0.25">
      <c r="C64" s="6">
        <v>1050</v>
      </c>
      <c r="D64" s="6">
        <f t="shared" si="3"/>
        <v>19.444444444444443</v>
      </c>
      <c r="E64" s="6">
        <v>20</v>
      </c>
      <c r="F64" s="6">
        <f t="shared" si="4"/>
        <v>20</v>
      </c>
    </row>
    <row r="65" spans="3:6" x14ac:dyDescent="0.25">
      <c r="C65" s="6">
        <v>1060</v>
      </c>
      <c r="D65" s="6">
        <f t="shared" si="3"/>
        <v>19.62962962962963</v>
      </c>
      <c r="E65" s="6">
        <f t="shared" si="5"/>
        <v>20</v>
      </c>
      <c r="F65" s="6">
        <f t="shared" si="4"/>
        <v>20</v>
      </c>
    </row>
    <row r="66" spans="3:6" x14ac:dyDescent="0.25">
      <c r="C66" s="6">
        <v>1070</v>
      </c>
      <c r="D66" s="6">
        <f t="shared" si="3"/>
        <v>19.814814814814813</v>
      </c>
      <c r="E66" s="6">
        <f t="shared" si="5"/>
        <v>20</v>
      </c>
      <c r="F66" s="6">
        <f t="shared" si="4"/>
        <v>20</v>
      </c>
    </row>
    <row r="67" spans="3:6" x14ac:dyDescent="0.25">
      <c r="C67" s="6">
        <v>1080</v>
      </c>
      <c r="D67" s="6">
        <f t="shared" si="3"/>
        <v>20</v>
      </c>
      <c r="E67" s="6">
        <f t="shared" si="5"/>
        <v>20</v>
      </c>
      <c r="F67" s="6">
        <f t="shared" si="4"/>
        <v>20</v>
      </c>
    </row>
    <row r="68" spans="3:6" x14ac:dyDescent="0.25">
      <c r="C68" s="6">
        <v>1090</v>
      </c>
      <c r="D68" s="6">
        <f t="shared" si="3"/>
        <v>20.185185185185187</v>
      </c>
      <c r="E68" s="6">
        <v>21</v>
      </c>
      <c r="F68" s="6">
        <f t="shared" si="4"/>
        <v>22</v>
      </c>
    </row>
    <row r="69" spans="3:6" x14ac:dyDescent="0.25">
      <c r="C69" s="6">
        <v>1100</v>
      </c>
      <c r="D69" s="6">
        <f t="shared" si="3"/>
        <v>20.37037037037037</v>
      </c>
      <c r="E69" s="6">
        <v>21</v>
      </c>
      <c r="F69" s="6">
        <f t="shared" si="4"/>
        <v>22</v>
      </c>
    </row>
    <row r="70" spans="3:6" x14ac:dyDescent="0.25">
      <c r="C70" s="6">
        <v>1110</v>
      </c>
      <c r="D70" s="6">
        <f t="shared" si="3"/>
        <v>20.555555555555557</v>
      </c>
      <c r="E70" s="6">
        <f t="shared" si="5"/>
        <v>21</v>
      </c>
      <c r="F70" s="6">
        <f t="shared" si="4"/>
        <v>22</v>
      </c>
    </row>
    <row r="71" spans="3:6" x14ac:dyDescent="0.25">
      <c r="C71" s="6">
        <v>1120</v>
      </c>
      <c r="D71" s="6">
        <f t="shared" si="3"/>
        <v>20.74074074074074</v>
      </c>
      <c r="E71" s="6">
        <f t="shared" si="5"/>
        <v>21</v>
      </c>
      <c r="F71" s="6">
        <f t="shared" si="4"/>
        <v>22</v>
      </c>
    </row>
    <row r="72" spans="3:6" x14ac:dyDescent="0.25">
      <c r="C72" s="6">
        <v>1130</v>
      </c>
      <c r="D72" s="6">
        <f t="shared" si="3"/>
        <v>20.925925925925927</v>
      </c>
      <c r="E72" s="6">
        <f t="shared" si="5"/>
        <v>21</v>
      </c>
      <c r="F72" s="6">
        <f t="shared" si="4"/>
        <v>22</v>
      </c>
    </row>
    <row r="73" spans="3:6" x14ac:dyDescent="0.25">
      <c r="C73" s="6">
        <v>1140</v>
      </c>
      <c r="D73" s="6">
        <f t="shared" si="3"/>
        <v>21.111111111111111</v>
      </c>
      <c r="E73" s="6">
        <v>21</v>
      </c>
      <c r="F73" s="6">
        <f t="shared" si="4"/>
        <v>22</v>
      </c>
    </row>
    <row r="74" spans="3:6" x14ac:dyDescent="0.25">
      <c r="C74" s="6">
        <v>1150</v>
      </c>
      <c r="D74" s="6">
        <f t="shared" si="3"/>
        <v>21.296296296296298</v>
      </c>
      <c r="E74" s="6">
        <f t="shared" si="5"/>
        <v>21</v>
      </c>
      <c r="F74" s="6">
        <f t="shared" si="4"/>
        <v>22</v>
      </c>
    </row>
    <row r="75" spans="3:6" x14ac:dyDescent="0.25">
      <c r="C75" s="6">
        <v>1160</v>
      </c>
      <c r="D75" s="6">
        <f t="shared" si="3"/>
        <v>21.481481481481481</v>
      </c>
      <c r="E75" s="6">
        <f t="shared" si="5"/>
        <v>21</v>
      </c>
      <c r="F75" s="6">
        <f t="shared" si="4"/>
        <v>22</v>
      </c>
    </row>
    <row r="76" spans="3:6" x14ac:dyDescent="0.25">
      <c r="C76" s="6">
        <v>1170</v>
      </c>
      <c r="D76" s="6">
        <f t="shared" si="3"/>
        <v>21.666666666666668</v>
      </c>
      <c r="E76" s="6">
        <f t="shared" si="5"/>
        <v>22</v>
      </c>
      <c r="F76" s="6">
        <f t="shared" si="4"/>
        <v>22</v>
      </c>
    </row>
    <row r="77" spans="3:6" x14ac:dyDescent="0.25">
      <c r="C77" s="6">
        <v>1180</v>
      </c>
      <c r="D77" s="6">
        <f t="shared" si="3"/>
        <v>21.851851851851851</v>
      </c>
      <c r="E77" s="6">
        <f t="shared" si="5"/>
        <v>22</v>
      </c>
      <c r="F77" s="6">
        <f t="shared" si="4"/>
        <v>22</v>
      </c>
    </row>
    <row r="78" spans="3:6" x14ac:dyDescent="0.25">
      <c r="C78" s="6">
        <v>1190</v>
      </c>
      <c r="D78" s="6">
        <f t="shared" si="3"/>
        <v>22.037037037037038</v>
      </c>
      <c r="E78" s="6">
        <v>23</v>
      </c>
      <c r="F78" s="6">
        <f t="shared" si="4"/>
        <v>24</v>
      </c>
    </row>
    <row r="79" spans="3:6" x14ac:dyDescent="0.25">
      <c r="C79" s="6">
        <v>1200</v>
      </c>
      <c r="D79" s="6">
        <f t="shared" si="3"/>
        <v>22.222222222222221</v>
      </c>
      <c r="E79" s="6">
        <v>23</v>
      </c>
      <c r="F79" s="6">
        <f t="shared" si="4"/>
        <v>24</v>
      </c>
    </row>
    <row r="80" spans="3:6" x14ac:dyDescent="0.25">
      <c r="C80" s="6">
        <v>1210</v>
      </c>
      <c r="D80" s="6">
        <f t="shared" si="3"/>
        <v>22.407407407407408</v>
      </c>
      <c r="E80" s="6">
        <v>23</v>
      </c>
      <c r="F80" s="6">
        <f t="shared" si="4"/>
        <v>24</v>
      </c>
    </row>
    <row r="81" spans="3:6" x14ac:dyDescent="0.25">
      <c r="C81" s="6">
        <v>1220</v>
      </c>
      <c r="D81" s="6">
        <f t="shared" si="3"/>
        <v>22.592592592592592</v>
      </c>
      <c r="E81" s="6">
        <f t="shared" si="5"/>
        <v>23</v>
      </c>
      <c r="F81" s="6">
        <f t="shared" si="4"/>
        <v>24</v>
      </c>
    </row>
    <row r="82" spans="3:6" x14ac:dyDescent="0.25">
      <c r="C82" s="6">
        <v>1230</v>
      </c>
      <c r="D82" s="6">
        <f t="shared" si="3"/>
        <v>22.777777777777779</v>
      </c>
      <c r="E82" s="6">
        <f t="shared" si="5"/>
        <v>23</v>
      </c>
      <c r="F82" s="6">
        <f t="shared" si="4"/>
        <v>24</v>
      </c>
    </row>
    <row r="83" spans="3:6" x14ac:dyDescent="0.25">
      <c r="C83" s="6">
        <v>1240</v>
      </c>
      <c r="D83" s="6">
        <f t="shared" si="3"/>
        <v>22.962962962962962</v>
      </c>
      <c r="E83" s="6">
        <f t="shared" si="5"/>
        <v>23</v>
      </c>
      <c r="F83" s="6">
        <f t="shared" si="4"/>
        <v>24</v>
      </c>
    </row>
    <row r="84" spans="3:6" x14ac:dyDescent="0.25">
      <c r="C84" s="6">
        <v>1250</v>
      </c>
      <c r="D84" s="6">
        <f t="shared" si="3"/>
        <v>23.148148148148149</v>
      </c>
      <c r="E84" s="6">
        <f t="shared" si="5"/>
        <v>23</v>
      </c>
      <c r="F84" s="6">
        <f t="shared" si="4"/>
        <v>24</v>
      </c>
    </row>
    <row r="85" spans="3:6" x14ac:dyDescent="0.25">
      <c r="C85" s="6">
        <v>1260</v>
      </c>
      <c r="D85" s="6">
        <f t="shared" si="3"/>
        <v>23.333333333333332</v>
      </c>
      <c r="E85" s="6">
        <f t="shared" si="5"/>
        <v>23</v>
      </c>
      <c r="F85" s="6">
        <f t="shared" si="4"/>
        <v>24</v>
      </c>
    </row>
    <row r="86" spans="3:6" x14ac:dyDescent="0.25">
      <c r="C86" s="6">
        <v>1270</v>
      </c>
      <c r="D86" s="6">
        <f t="shared" si="3"/>
        <v>23.518518518518519</v>
      </c>
      <c r="E86" s="6">
        <f t="shared" si="5"/>
        <v>24</v>
      </c>
      <c r="F86" s="6">
        <f t="shared" si="4"/>
        <v>24</v>
      </c>
    </row>
    <row r="87" spans="3:6" x14ac:dyDescent="0.25">
      <c r="C87" s="6">
        <v>1280</v>
      </c>
      <c r="D87" s="6">
        <f t="shared" si="3"/>
        <v>23.703703703703702</v>
      </c>
      <c r="E87" s="6">
        <f t="shared" si="5"/>
        <v>24</v>
      </c>
      <c r="F87" s="6">
        <f t="shared" si="4"/>
        <v>24</v>
      </c>
    </row>
    <row r="88" spans="3:6" x14ac:dyDescent="0.25">
      <c r="C88" s="6">
        <v>1290</v>
      </c>
      <c r="D88" s="6">
        <f t="shared" si="3"/>
        <v>23.888888888888889</v>
      </c>
      <c r="E88" s="6">
        <f t="shared" si="5"/>
        <v>24</v>
      </c>
      <c r="F88" s="6">
        <f t="shared" si="4"/>
        <v>24</v>
      </c>
    </row>
    <row r="89" spans="3:6" x14ac:dyDescent="0.25">
      <c r="C89" s="6">
        <v>1300</v>
      </c>
      <c r="D89" s="6">
        <f t="shared" si="3"/>
        <v>24.074074074074073</v>
      </c>
      <c r="E89" s="6">
        <v>25</v>
      </c>
      <c r="F89" s="6">
        <f t="shared" si="4"/>
        <v>26</v>
      </c>
    </row>
    <row r="90" spans="3:6" x14ac:dyDescent="0.25">
      <c r="C90" s="6">
        <v>1310</v>
      </c>
      <c r="D90" s="6">
        <f t="shared" si="3"/>
        <v>24.25925925925926</v>
      </c>
      <c r="E90" s="6">
        <v>25</v>
      </c>
      <c r="F90" s="6">
        <f t="shared" si="4"/>
        <v>26</v>
      </c>
    </row>
    <row r="91" spans="3:6" x14ac:dyDescent="0.25">
      <c r="C91" s="6">
        <v>1320</v>
      </c>
      <c r="D91" s="6">
        <f t="shared" si="3"/>
        <v>24.444444444444443</v>
      </c>
      <c r="E91" s="6">
        <v>25</v>
      </c>
      <c r="F91" s="6">
        <f t="shared" si="4"/>
        <v>26</v>
      </c>
    </row>
    <row r="92" spans="3:6" x14ac:dyDescent="0.25">
      <c r="C92" s="6">
        <v>1330</v>
      </c>
      <c r="D92" s="6">
        <f t="shared" si="3"/>
        <v>24.62962962962963</v>
      </c>
      <c r="E92" s="6">
        <f t="shared" si="5"/>
        <v>25</v>
      </c>
      <c r="F92" s="6">
        <f t="shared" si="4"/>
        <v>26</v>
      </c>
    </row>
    <row r="93" spans="3:6" x14ac:dyDescent="0.25">
      <c r="C93" s="6">
        <v>1340</v>
      </c>
      <c r="D93" s="6">
        <f t="shared" si="3"/>
        <v>24.814814814814813</v>
      </c>
      <c r="E93" s="6">
        <f t="shared" si="5"/>
        <v>25</v>
      </c>
      <c r="F93" s="6">
        <f t="shared" si="4"/>
        <v>26</v>
      </c>
    </row>
    <row r="94" spans="3:6" x14ac:dyDescent="0.25">
      <c r="C94" s="6">
        <v>1350</v>
      </c>
      <c r="D94" s="6">
        <f t="shared" si="3"/>
        <v>25</v>
      </c>
      <c r="E94" s="6">
        <f t="shared" si="5"/>
        <v>25</v>
      </c>
      <c r="F94" s="6">
        <f t="shared" si="4"/>
        <v>26</v>
      </c>
    </row>
    <row r="95" spans="3:6" x14ac:dyDescent="0.25">
      <c r="C95" s="6">
        <v>1360</v>
      </c>
      <c r="D95" s="6">
        <f t="shared" si="3"/>
        <v>25.185185185185187</v>
      </c>
      <c r="E95" s="6">
        <f t="shared" si="5"/>
        <v>25</v>
      </c>
      <c r="F95" s="6">
        <f t="shared" si="4"/>
        <v>26</v>
      </c>
    </row>
    <row r="96" spans="3:6" x14ac:dyDescent="0.25">
      <c r="C96" s="6">
        <v>1370</v>
      </c>
      <c r="D96" s="6">
        <f t="shared" si="3"/>
        <v>25.37037037037037</v>
      </c>
      <c r="E96" s="6">
        <f t="shared" si="5"/>
        <v>25</v>
      </c>
      <c r="F96" s="6">
        <f t="shared" si="4"/>
        <v>26</v>
      </c>
    </row>
    <row r="97" spans="3:6" x14ac:dyDescent="0.25">
      <c r="C97" s="6">
        <v>1380</v>
      </c>
      <c r="D97" s="6">
        <f t="shared" si="3"/>
        <v>25.555555555555557</v>
      </c>
      <c r="E97" s="6">
        <f t="shared" si="5"/>
        <v>26</v>
      </c>
      <c r="F97" s="6">
        <f t="shared" si="4"/>
        <v>26</v>
      </c>
    </row>
    <row r="98" spans="3:6" x14ac:dyDescent="0.25">
      <c r="C98" s="6">
        <v>1390</v>
      </c>
      <c r="D98" s="6">
        <f t="shared" si="3"/>
        <v>25.74074074074074</v>
      </c>
      <c r="E98" s="6">
        <f t="shared" si="5"/>
        <v>26</v>
      </c>
      <c r="F98" s="6">
        <f t="shared" si="4"/>
        <v>26</v>
      </c>
    </row>
    <row r="99" spans="3:6" x14ac:dyDescent="0.25">
      <c r="C99" s="6">
        <v>1400</v>
      </c>
      <c r="D99" s="6">
        <f t="shared" ref="D99:D162" si="6">$C99/54</f>
        <v>25.925925925925927</v>
      </c>
      <c r="E99" s="6">
        <f t="shared" ref="E99:E162" si="7">ROUND($C99/54,0)</f>
        <v>26</v>
      </c>
      <c r="F99" s="6">
        <f t="shared" ref="F99:F162" si="8">IF(ISEVEN(($E99)),$E99,EVEN($E99))</f>
        <v>26</v>
      </c>
    </row>
    <row r="100" spans="3:6" x14ac:dyDescent="0.25">
      <c r="C100" s="6">
        <v>1410</v>
      </c>
      <c r="D100" s="6">
        <f t="shared" si="6"/>
        <v>26.111111111111111</v>
      </c>
      <c r="E100" s="6">
        <v>27</v>
      </c>
      <c r="F100" s="6">
        <f t="shared" si="8"/>
        <v>28</v>
      </c>
    </row>
    <row r="101" spans="3:6" x14ac:dyDescent="0.25">
      <c r="C101" s="6">
        <v>1420</v>
      </c>
      <c r="D101" s="6">
        <f t="shared" si="6"/>
        <v>26.296296296296298</v>
      </c>
      <c r="E101" s="6">
        <v>27</v>
      </c>
      <c r="F101" s="6">
        <f t="shared" si="8"/>
        <v>28</v>
      </c>
    </row>
    <row r="102" spans="3:6" x14ac:dyDescent="0.25">
      <c r="C102" s="6">
        <v>1430</v>
      </c>
      <c r="D102" s="6">
        <f t="shared" si="6"/>
        <v>26.481481481481481</v>
      </c>
      <c r="E102" s="6">
        <v>27</v>
      </c>
      <c r="F102" s="6">
        <f t="shared" si="8"/>
        <v>28</v>
      </c>
    </row>
    <row r="103" spans="3:6" x14ac:dyDescent="0.25">
      <c r="C103" s="6">
        <v>1440</v>
      </c>
      <c r="D103" s="6">
        <f t="shared" si="6"/>
        <v>26.666666666666668</v>
      </c>
      <c r="E103" s="6">
        <f t="shared" si="7"/>
        <v>27</v>
      </c>
      <c r="F103" s="6">
        <f t="shared" si="8"/>
        <v>28</v>
      </c>
    </row>
    <row r="104" spans="3:6" x14ac:dyDescent="0.25">
      <c r="C104" s="6">
        <v>1450</v>
      </c>
      <c r="D104" s="6">
        <f t="shared" si="6"/>
        <v>26.851851851851851</v>
      </c>
      <c r="E104" s="6">
        <f t="shared" si="7"/>
        <v>27</v>
      </c>
      <c r="F104" s="6">
        <f t="shared" si="8"/>
        <v>28</v>
      </c>
    </row>
    <row r="105" spans="3:6" x14ac:dyDescent="0.25">
      <c r="C105" s="6">
        <v>1460</v>
      </c>
      <c r="D105" s="6">
        <f t="shared" si="6"/>
        <v>27.037037037037038</v>
      </c>
      <c r="E105" s="6">
        <f t="shared" si="7"/>
        <v>27</v>
      </c>
      <c r="F105" s="6">
        <f t="shared" si="8"/>
        <v>28</v>
      </c>
    </row>
    <row r="106" spans="3:6" x14ac:dyDescent="0.25">
      <c r="C106" s="6">
        <v>1470</v>
      </c>
      <c r="D106" s="6">
        <f t="shared" si="6"/>
        <v>27.222222222222221</v>
      </c>
      <c r="E106" s="6">
        <f t="shared" si="7"/>
        <v>27</v>
      </c>
      <c r="F106" s="6">
        <f t="shared" si="8"/>
        <v>28</v>
      </c>
    </row>
    <row r="107" spans="3:6" x14ac:dyDescent="0.25">
      <c r="C107" s="6">
        <v>1480</v>
      </c>
      <c r="D107" s="6">
        <f t="shared" si="6"/>
        <v>27.407407407407408</v>
      </c>
      <c r="E107" s="6">
        <f t="shared" si="7"/>
        <v>27</v>
      </c>
      <c r="F107" s="6">
        <f t="shared" si="8"/>
        <v>28</v>
      </c>
    </row>
    <row r="108" spans="3:6" x14ac:dyDescent="0.25">
      <c r="C108" s="6">
        <v>1490</v>
      </c>
      <c r="D108" s="6">
        <f t="shared" si="6"/>
        <v>27.592592592592592</v>
      </c>
      <c r="E108" s="6">
        <f t="shared" si="7"/>
        <v>28</v>
      </c>
      <c r="F108" s="6">
        <f t="shared" si="8"/>
        <v>28</v>
      </c>
    </row>
    <row r="109" spans="3:6" x14ac:dyDescent="0.25">
      <c r="C109" s="6">
        <v>1500</v>
      </c>
      <c r="D109" s="6">
        <f t="shared" si="6"/>
        <v>27.777777777777779</v>
      </c>
      <c r="E109" s="6">
        <f t="shared" si="7"/>
        <v>28</v>
      </c>
      <c r="F109" s="6">
        <f t="shared" si="8"/>
        <v>28</v>
      </c>
    </row>
    <row r="110" spans="3:6" x14ac:dyDescent="0.25">
      <c r="C110" s="6">
        <v>1510</v>
      </c>
      <c r="D110" s="6">
        <f t="shared" si="6"/>
        <v>27.962962962962962</v>
      </c>
      <c r="E110" s="6">
        <f t="shared" si="7"/>
        <v>28</v>
      </c>
      <c r="F110" s="6">
        <f t="shared" si="8"/>
        <v>28</v>
      </c>
    </row>
    <row r="111" spans="3:6" x14ac:dyDescent="0.25">
      <c r="C111" s="6">
        <v>1520</v>
      </c>
      <c r="D111" s="6">
        <f t="shared" si="6"/>
        <v>28.148148148148149</v>
      </c>
      <c r="E111" s="6">
        <v>29</v>
      </c>
      <c r="F111" s="6">
        <f t="shared" si="8"/>
        <v>30</v>
      </c>
    </row>
    <row r="112" spans="3:6" x14ac:dyDescent="0.25">
      <c r="C112" s="6">
        <v>1530</v>
      </c>
      <c r="D112" s="6">
        <f t="shared" si="6"/>
        <v>28.333333333333332</v>
      </c>
      <c r="E112" s="6">
        <v>29</v>
      </c>
      <c r="F112" s="6">
        <f t="shared" si="8"/>
        <v>30</v>
      </c>
    </row>
    <row r="113" spans="3:6" x14ac:dyDescent="0.25">
      <c r="C113" s="6">
        <v>1540</v>
      </c>
      <c r="D113" s="6">
        <f t="shared" si="6"/>
        <v>28.518518518518519</v>
      </c>
      <c r="E113" s="6">
        <f t="shared" si="7"/>
        <v>29</v>
      </c>
      <c r="F113" s="6">
        <f t="shared" si="8"/>
        <v>30</v>
      </c>
    </row>
    <row r="114" spans="3:6" x14ac:dyDescent="0.25">
      <c r="C114" s="6">
        <v>1550</v>
      </c>
      <c r="D114" s="6">
        <f t="shared" si="6"/>
        <v>28.703703703703702</v>
      </c>
      <c r="E114" s="6">
        <f t="shared" si="7"/>
        <v>29</v>
      </c>
      <c r="F114" s="6">
        <f t="shared" si="8"/>
        <v>30</v>
      </c>
    </row>
    <row r="115" spans="3:6" x14ac:dyDescent="0.25">
      <c r="C115" s="6">
        <v>1560</v>
      </c>
      <c r="D115" s="6">
        <f t="shared" si="6"/>
        <v>28.888888888888889</v>
      </c>
      <c r="E115" s="6">
        <f t="shared" si="7"/>
        <v>29</v>
      </c>
      <c r="F115" s="6">
        <f t="shared" si="8"/>
        <v>30</v>
      </c>
    </row>
    <row r="116" spans="3:6" x14ac:dyDescent="0.25">
      <c r="C116" s="6">
        <v>1570</v>
      </c>
      <c r="D116" s="6">
        <f t="shared" si="6"/>
        <v>29.074074074074073</v>
      </c>
      <c r="E116" s="6">
        <f t="shared" si="7"/>
        <v>29</v>
      </c>
      <c r="F116" s="6">
        <f t="shared" si="8"/>
        <v>30</v>
      </c>
    </row>
    <row r="117" spans="3:6" x14ac:dyDescent="0.25">
      <c r="C117" s="6">
        <v>1580</v>
      </c>
      <c r="D117" s="6">
        <f t="shared" si="6"/>
        <v>29.25925925925926</v>
      </c>
      <c r="E117" s="6">
        <f t="shared" si="7"/>
        <v>29</v>
      </c>
      <c r="F117" s="6">
        <f t="shared" si="8"/>
        <v>30</v>
      </c>
    </row>
    <row r="118" spans="3:6" x14ac:dyDescent="0.25">
      <c r="C118" s="6">
        <v>1590</v>
      </c>
      <c r="D118" s="6">
        <f t="shared" si="6"/>
        <v>29.444444444444443</v>
      </c>
      <c r="E118" s="6">
        <f t="shared" si="7"/>
        <v>29</v>
      </c>
      <c r="F118" s="6">
        <f t="shared" si="8"/>
        <v>30</v>
      </c>
    </row>
    <row r="119" spans="3:6" x14ac:dyDescent="0.25">
      <c r="C119" s="6">
        <v>1600</v>
      </c>
      <c r="D119" s="6">
        <f t="shared" si="6"/>
        <v>29.62962962962963</v>
      </c>
      <c r="E119" s="6">
        <f t="shared" si="7"/>
        <v>30</v>
      </c>
      <c r="F119" s="6">
        <f t="shared" si="8"/>
        <v>30</v>
      </c>
    </row>
    <row r="120" spans="3:6" x14ac:dyDescent="0.25">
      <c r="C120" s="6">
        <v>1610</v>
      </c>
      <c r="D120" s="6">
        <f t="shared" si="6"/>
        <v>29.814814814814813</v>
      </c>
      <c r="E120" s="6">
        <f t="shared" si="7"/>
        <v>30</v>
      </c>
      <c r="F120" s="6">
        <f t="shared" si="8"/>
        <v>30</v>
      </c>
    </row>
    <row r="121" spans="3:6" x14ac:dyDescent="0.25">
      <c r="C121" s="6">
        <v>1620</v>
      </c>
      <c r="D121" s="6">
        <f t="shared" si="6"/>
        <v>30</v>
      </c>
      <c r="E121" s="6">
        <f t="shared" si="7"/>
        <v>30</v>
      </c>
      <c r="F121" s="6">
        <f t="shared" si="8"/>
        <v>30</v>
      </c>
    </row>
    <row r="122" spans="3:6" x14ac:dyDescent="0.25">
      <c r="C122" s="6">
        <v>1630</v>
      </c>
      <c r="D122" s="6">
        <f t="shared" si="6"/>
        <v>30.185185185185187</v>
      </c>
      <c r="E122" s="6">
        <v>31</v>
      </c>
      <c r="F122" s="6">
        <f t="shared" si="8"/>
        <v>32</v>
      </c>
    </row>
    <row r="123" spans="3:6" x14ac:dyDescent="0.25">
      <c r="C123" s="6">
        <v>1640</v>
      </c>
      <c r="D123" s="6">
        <f t="shared" si="6"/>
        <v>30.37037037037037</v>
      </c>
      <c r="E123" s="6">
        <v>31</v>
      </c>
      <c r="F123" s="6">
        <f t="shared" si="8"/>
        <v>32</v>
      </c>
    </row>
    <row r="124" spans="3:6" x14ac:dyDescent="0.25">
      <c r="C124" s="6">
        <v>1650</v>
      </c>
      <c r="D124" s="6">
        <f t="shared" si="6"/>
        <v>30.555555555555557</v>
      </c>
      <c r="E124" s="6">
        <f t="shared" si="7"/>
        <v>31</v>
      </c>
      <c r="F124" s="6">
        <f t="shared" si="8"/>
        <v>32</v>
      </c>
    </row>
    <row r="125" spans="3:6" x14ac:dyDescent="0.25">
      <c r="C125" s="6">
        <v>1660</v>
      </c>
      <c r="D125" s="6">
        <f t="shared" si="6"/>
        <v>30.74074074074074</v>
      </c>
      <c r="E125" s="6">
        <f t="shared" si="7"/>
        <v>31</v>
      </c>
      <c r="F125" s="6">
        <f t="shared" si="8"/>
        <v>32</v>
      </c>
    </row>
    <row r="126" spans="3:6" x14ac:dyDescent="0.25">
      <c r="C126" s="6">
        <v>1670</v>
      </c>
      <c r="D126" s="6">
        <f t="shared" si="6"/>
        <v>30.925925925925927</v>
      </c>
      <c r="E126" s="6">
        <f t="shared" si="7"/>
        <v>31</v>
      </c>
      <c r="F126" s="6">
        <f t="shared" si="8"/>
        <v>32</v>
      </c>
    </row>
    <row r="127" spans="3:6" x14ac:dyDescent="0.25">
      <c r="C127" s="6">
        <v>1680</v>
      </c>
      <c r="D127" s="6">
        <f t="shared" si="6"/>
        <v>31.111111111111111</v>
      </c>
      <c r="E127" s="6">
        <f t="shared" si="7"/>
        <v>31</v>
      </c>
      <c r="F127" s="6">
        <f t="shared" si="8"/>
        <v>32</v>
      </c>
    </row>
    <row r="128" spans="3:6" x14ac:dyDescent="0.25">
      <c r="C128" s="6">
        <v>1690</v>
      </c>
      <c r="D128" s="6">
        <f t="shared" si="6"/>
        <v>31.296296296296298</v>
      </c>
      <c r="E128" s="6">
        <f t="shared" si="7"/>
        <v>31</v>
      </c>
      <c r="F128" s="6">
        <f t="shared" si="8"/>
        <v>32</v>
      </c>
    </row>
    <row r="129" spans="3:6" x14ac:dyDescent="0.25">
      <c r="C129" s="6">
        <v>1700</v>
      </c>
      <c r="D129" s="6">
        <f t="shared" si="6"/>
        <v>31.481481481481481</v>
      </c>
      <c r="E129" s="6">
        <f t="shared" si="7"/>
        <v>31</v>
      </c>
      <c r="F129" s="6">
        <f t="shared" si="8"/>
        <v>32</v>
      </c>
    </row>
    <row r="130" spans="3:6" x14ac:dyDescent="0.25">
      <c r="C130" s="6">
        <v>1710</v>
      </c>
      <c r="D130" s="6">
        <f t="shared" si="6"/>
        <v>31.666666666666668</v>
      </c>
      <c r="E130" s="6">
        <f t="shared" si="7"/>
        <v>32</v>
      </c>
      <c r="F130" s="6">
        <f t="shared" si="8"/>
        <v>32</v>
      </c>
    </row>
    <row r="131" spans="3:6" x14ac:dyDescent="0.25">
      <c r="C131" s="6">
        <v>1720</v>
      </c>
      <c r="D131" s="6">
        <f t="shared" si="6"/>
        <v>31.851851851851851</v>
      </c>
      <c r="E131" s="6">
        <f t="shared" si="7"/>
        <v>32</v>
      </c>
      <c r="F131" s="6">
        <f t="shared" si="8"/>
        <v>32</v>
      </c>
    </row>
    <row r="132" spans="3:6" x14ac:dyDescent="0.25">
      <c r="C132" s="6">
        <v>1730</v>
      </c>
      <c r="D132" s="6">
        <f t="shared" si="6"/>
        <v>32.037037037037038</v>
      </c>
      <c r="E132" s="6">
        <v>33</v>
      </c>
      <c r="F132" s="6">
        <f t="shared" si="8"/>
        <v>34</v>
      </c>
    </row>
    <row r="133" spans="3:6" x14ac:dyDescent="0.25">
      <c r="C133" s="6">
        <v>1740</v>
      </c>
      <c r="D133" s="6">
        <f t="shared" si="6"/>
        <v>32.222222222222221</v>
      </c>
      <c r="E133" s="6">
        <v>33</v>
      </c>
      <c r="F133" s="6">
        <f t="shared" si="8"/>
        <v>34</v>
      </c>
    </row>
    <row r="134" spans="3:6" x14ac:dyDescent="0.25">
      <c r="C134" s="6">
        <v>1750</v>
      </c>
      <c r="D134" s="6">
        <f t="shared" si="6"/>
        <v>32.407407407407405</v>
      </c>
      <c r="E134" s="6">
        <v>33</v>
      </c>
      <c r="F134" s="6">
        <f t="shared" si="8"/>
        <v>34</v>
      </c>
    </row>
    <row r="135" spans="3:6" x14ac:dyDescent="0.25">
      <c r="C135" s="6">
        <v>1760</v>
      </c>
      <c r="D135" s="6">
        <f t="shared" si="6"/>
        <v>32.592592592592595</v>
      </c>
      <c r="E135" s="6">
        <f t="shared" si="7"/>
        <v>33</v>
      </c>
      <c r="F135" s="6">
        <f t="shared" si="8"/>
        <v>34</v>
      </c>
    </row>
    <row r="136" spans="3:6" x14ac:dyDescent="0.25">
      <c r="C136" s="6">
        <v>1770</v>
      </c>
      <c r="D136" s="6">
        <f t="shared" si="6"/>
        <v>32.777777777777779</v>
      </c>
      <c r="E136" s="6">
        <f t="shared" si="7"/>
        <v>33</v>
      </c>
      <c r="F136" s="6">
        <f t="shared" si="8"/>
        <v>34</v>
      </c>
    </row>
    <row r="137" spans="3:6" x14ac:dyDescent="0.25">
      <c r="C137" s="6">
        <v>1780</v>
      </c>
      <c r="D137" s="6">
        <f t="shared" si="6"/>
        <v>32.962962962962962</v>
      </c>
      <c r="E137" s="6">
        <f t="shared" si="7"/>
        <v>33</v>
      </c>
      <c r="F137" s="6">
        <f t="shared" si="8"/>
        <v>34</v>
      </c>
    </row>
    <row r="138" spans="3:6" x14ac:dyDescent="0.25">
      <c r="C138" s="6">
        <v>1790</v>
      </c>
      <c r="D138" s="6">
        <f t="shared" si="6"/>
        <v>33.148148148148145</v>
      </c>
      <c r="E138" s="6">
        <f t="shared" si="7"/>
        <v>33</v>
      </c>
      <c r="F138" s="6">
        <f t="shared" si="8"/>
        <v>34</v>
      </c>
    </row>
    <row r="139" spans="3:6" x14ac:dyDescent="0.25">
      <c r="C139" s="6">
        <v>1800</v>
      </c>
      <c r="D139" s="6">
        <f t="shared" si="6"/>
        <v>33.333333333333336</v>
      </c>
      <c r="E139" s="6">
        <f t="shared" si="7"/>
        <v>33</v>
      </c>
      <c r="F139" s="6">
        <f t="shared" si="8"/>
        <v>34</v>
      </c>
    </row>
    <row r="140" spans="3:6" x14ac:dyDescent="0.25">
      <c r="C140" s="6">
        <v>1810</v>
      </c>
      <c r="D140" s="6">
        <f t="shared" si="6"/>
        <v>33.518518518518519</v>
      </c>
      <c r="E140" s="6">
        <f t="shared" si="7"/>
        <v>34</v>
      </c>
      <c r="F140" s="6">
        <f t="shared" si="8"/>
        <v>34</v>
      </c>
    </row>
    <row r="141" spans="3:6" x14ac:dyDescent="0.25">
      <c r="C141" s="6">
        <v>1820</v>
      </c>
      <c r="D141" s="6">
        <f t="shared" si="6"/>
        <v>33.703703703703702</v>
      </c>
      <c r="E141" s="6">
        <f t="shared" si="7"/>
        <v>34</v>
      </c>
      <c r="F141" s="6">
        <f t="shared" si="8"/>
        <v>34</v>
      </c>
    </row>
    <row r="142" spans="3:6" x14ac:dyDescent="0.25">
      <c r="C142" s="6">
        <v>1830</v>
      </c>
      <c r="D142" s="6">
        <f t="shared" si="6"/>
        <v>33.888888888888886</v>
      </c>
      <c r="E142" s="6">
        <f t="shared" si="7"/>
        <v>34</v>
      </c>
      <c r="F142" s="6">
        <f t="shared" si="8"/>
        <v>34</v>
      </c>
    </row>
    <row r="143" spans="3:6" x14ac:dyDescent="0.25">
      <c r="C143" s="6">
        <v>1840</v>
      </c>
      <c r="D143" s="6">
        <f t="shared" si="6"/>
        <v>34.074074074074076</v>
      </c>
      <c r="E143" s="6">
        <v>35</v>
      </c>
      <c r="F143" s="6">
        <f t="shared" si="8"/>
        <v>36</v>
      </c>
    </row>
    <row r="144" spans="3:6" x14ac:dyDescent="0.25">
      <c r="C144" s="6">
        <v>1850</v>
      </c>
      <c r="D144" s="6">
        <f t="shared" si="6"/>
        <v>34.25925925925926</v>
      </c>
      <c r="E144" s="6">
        <v>35</v>
      </c>
      <c r="F144" s="6">
        <f t="shared" si="8"/>
        <v>36</v>
      </c>
    </row>
    <row r="145" spans="3:6" x14ac:dyDescent="0.25">
      <c r="C145" s="6">
        <v>1860</v>
      </c>
      <c r="D145" s="6">
        <f t="shared" si="6"/>
        <v>34.444444444444443</v>
      </c>
      <c r="E145" s="6">
        <v>35</v>
      </c>
      <c r="F145" s="6">
        <f t="shared" si="8"/>
        <v>36</v>
      </c>
    </row>
    <row r="146" spans="3:6" x14ac:dyDescent="0.25">
      <c r="C146" s="6">
        <v>1870</v>
      </c>
      <c r="D146" s="6">
        <f t="shared" si="6"/>
        <v>34.629629629629626</v>
      </c>
      <c r="E146" s="6">
        <f t="shared" si="7"/>
        <v>35</v>
      </c>
      <c r="F146" s="6">
        <f t="shared" si="8"/>
        <v>36</v>
      </c>
    </row>
    <row r="147" spans="3:6" x14ac:dyDescent="0.25">
      <c r="C147" s="6">
        <v>1880</v>
      </c>
      <c r="D147" s="6">
        <f t="shared" si="6"/>
        <v>34.814814814814817</v>
      </c>
      <c r="E147" s="6">
        <f t="shared" si="7"/>
        <v>35</v>
      </c>
      <c r="F147" s="6">
        <f t="shared" si="8"/>
        <v>36</v>
      </c>
    </row>
    <row r="148" spans="3:6" x14ac:dyDescent="0.25">
      <c r="C148" s="6">
        <v>1890</v>
      </c>
      <c r="D148" s="6">
        <f t="shared" si="6"/>
        <v>35</v>
      </c>
      <c r="E148" s="6">
        <f t="shared" si="7"/>
        <v>35</v>
      </c>
      <c r="F148" s="6">
        <f t="shared" si="8"/>
        <v>36</v>
      </c>
    </row>
    <row r="149" spans="3:6" x14ac:dyDescent="0.25">
      <c r="C149" s="6">
        <v>1900</v>
      </c>
      <c r="D149" s="6">
        <f t="shared" si="6"/>
        <v>35.185185185185183</v>
      </c>
      <c r="E149" s="6">
        <f t="shared" si="7"/>
        <v>35</v>
      </c>
      <c r="F149" s="6">
        <f t="shared" si="8"/>
        <v>36</v>
      </c>
    </row>
    <row r="150" spans="3:6" x14ac:dyDescent="0.25">
      <c r="C150" s="6">
        <v>1910</v>
      </c>
      <c r="D150" s="6">
        <f t="shared" si="6"/>
        <v>35.370370370370374</v>
      </c>
      <c r="E150" s="6">
        <f t="shared" si="7"/>
        <v>35</v>
      </c>
      <c r="F150" s="6">
        <f t="shared" si="8"/>
        <v>36</v>
      </c>
    </row>
    <row r="151" spans="3:6" x14ac:dyDescent="0.25">
      <c r="C151" s="6">
        <v>1920</v>
      </c>
      <c r="D151" s="6">
        <f t="shared" si="6"/>
        <v>35.555555555555557</v>
      </c>
      <c r="E151" s="6">
        <f t="shared" si="7"/>
        <v>36</v>
      </c>
      <c r="F151" s="6">
        <f t="shared" si="8"/>
        <v>36</v>
      </c>
    </row>
    <row r="152" spans="3:6" x14ac:dyDescent="0.25">
      <c r="C152" s="6">
        <v>1930</v>
      </c>
      <c r="D152" s="6">
        <f t="shared" si="6"/>
        <v>35.74074074074074</v>
      </c>
      <c r="E152" s="6">
        <f t="shared" si="7"/>
        <v>36</v>
      </c>
      <c r="F152" s="6">
        <f t="shared" si="8"/>
        <v>36</v>
      </c>
    </row>
    <row r="153" spans="3:6" x14ac:dyDescent="0.25">
      <c r="C153" s="6">
        <v>1940</v>
      </c>
      <c r="D153" s="6">
        <f t="shared" si="6"/>
        <v>35.925925925925924</v>
      </c>
      <c r="E153" s="6">
        <f t="shared" si="7"/>
        <v>36</v>
      </c>
      <c r="F153" s="6">
        <f t="shared" si="8"/>
        <v>36</v>
      </c>
    </row>
    <row r="154" spans="3:6" x14ac:dyDescent="0.25">
      <c r="C154" s="6">
        <v>1950</v>
      </c>
      <c r="D154" s="6">
        <f t="shared" si="6"/>
        <v>36.111111111111114</v>
      </c>
      <c r="E154" s="6">
        <v>37</v>
      </c>
      <c r="F154" s="6">
        <f t="shared" si="8"/>
        <v>38</v>
      </c>
    </row>
    <row r="155" spans="3:6" x14ac:dyDescent="0.25">
      <c r="C155" s="6">
        <v>1960</v>
      </c>
      <c r="D155" s="6">
        <f t="shared" si="6"/>
        <v>36.296296296296298</v>
      </c>
      <c r="E155" s="6">
        <v>37</v>
      </c>
      <c r="F155" s="6">
        <f t="shared" si="8"/>
        <v>38</v>
      </c>
    </row>
    <row r="156" spans="3:6" x14ac:dyDescent="0.25">
      <c r="C156" s="6">
        <v>1970</v>
      </c>
      <c r="D156" s="6">
        <f t="shared" si="6"/>
        <v>36.481481481481481</v>
      </c>
      <c r="E156" s="6">
        <v>37</v>
      </c>
      <c r="F156" s="6">
        <f t="shared" si="8"/>
        <v>38</v>
      </c>
    </row>
    <row r="157" spans="3:6" x14ac:dyDescent="0.25">
      <c r="C157" s="6">
        <v>1980</v>
      </c>
      <c r="D157" s="6">
        <f t="shared" si="6"/>
        <v>36.666666666666664</v>
      </c>
      <c r="E157" s="6">
        <f t="shared" si="7"/>
        <v>37</v>
      </c>
      <c r="F157" s="6">
        <f t="shared" si="8"/>
        <v>38</v>
      </c>
    </row>
    <row r="158" spans="3:6" x14ac:dyDescent="0.25">
      <c r="C158" s="6">
        <v>1990</v>
      </c>
      <c r="D158" s="6">
        <f t="shared" si="6"/>
        <v>36.851851851851855</v>
      </c>
      <c r="E158" s="6">
        <f t="shared" si="7"/>
        <v>37</v>
      </c>
      <c r="F158" s="6">
        <f t="shared" si="8"/>
        <v>38</v>
      </c>
    </row>
    <row r="159" spans="3:6" x14ac:dyDescent="0.25">
      <c r="C159" s="6">
        <v>2000</v>
      </c>
      <c r="D159" s="6">
        <f t="shared" si="6"/>
        <v>37.037037037037038</v>
      </c>
      <c r="E159" s="6">
        <f t="shared" si="7"/>
        <v>37</v>
      </c>
      <c r="F159" s="6">
        <f t="shared" si="8"/>
        <v>38</v>
      </c>
    </row>
    <row r="160" spans="3:6" x14ac:dyDescent="0.25">
      <c r="C160" s="6">
        <v>2010</v>
      </c>
      <c r="D160" s="6">
        <f t="shared" si="6"/>
        <v>37.222222222222221</v>
      </c>
      <c r="E160" s="6">
        <f t="shared" si="7"/>
        <v>37</v>
      </c>
      <c r="F160" s="6">
        <f t="shared" si="8"/>
        <v>38</v>
      </c>
    </row>
    <row r="161" spans="3:6" x14ac:dyDescent="0.25">
      <c r="C161" s="6">
        <v>2020</v>
      </c>
      <c r="D161" s="6">
        <f t="shared" si="6"/>
        <v>37.407407407407405</v>
      </c>
      <c r="E161" s="6">
        <f t="shared" si="7"/>
        <v>37</v>
      </c>
      <c r="F161" s="6">
        <f t="shared" si="8"/>
        <v>38</v>
      </c>
    </row>
    <row r="162" spans="3:6" x14ac:dyDescent="0.25">
      <c r="C162" s="6">
        <v>2030</v>
      </c>
      <c r="D162" s="6">
        <f t="shared" si="6"/>
        <v>37.592592592592595</v>
      </c>
      <c r="E162" s="6">
        <f t="shared" si="7"/>
        <v>38</v>
      </c>
      <c r="F162" s="6">
        <f t="shared" si="8"/>
        <v>38</v>
      </c>
    </row>
    <row r="163" spans="3:6" x14ac:dyDescent="0.25">
      <c r="C163" s="6">
        <v>2040</v>
      </c>
      <c r="D163" s="6">
        <f t="shared" ref="D163:D226" si="9">$C163/54</f>
        <v>37.777777777777779</v>
      </c>
      <c r="E163" s="6">
        <f t="shared" ref="E163:E226" si="10">ROUND($C163/54,0)</f>
        <v>38</v>
      </c>
      <c r="F163" s="6">
        <f t="shared" ref="F163:F226" si="11">IF(ISEVEN(($E163)),$E163,EVEN($E163))</f>
        <v>38</v>
      </c>
    </row>
    <row r="164" spans="3:6" x14ac:dyDescent="0.25">
      <c r="C164" s="6">
        <v>2050</v>
      </c>
      <c r="D164" s="6">
        <f t="shared" si="9"/>
        <v>37.962962962962962</v>
      </c>
      <c r="E164" s="6">
        <f t="shared" si="10"/>
        <v>38</v>
      </c>
      <c r="F164" s="6">
        <f t="shared" si="11"/>
        <v>38</v>
      </c>
    </row>
    <row r="165" spans="3:6" x14ac:dyDescent="0.25">
      <c r="C165" s="6">
        <v>2060</v>
      </c>
      <c r="D165" s="6">
        <f t="shared" si="9"/>
        <v>38.148148148148145</v>
      </c>
      <c r="E165" s="6">
        <v>39</v>
      </c>
      <c r="F165" s="6">
        <f t="shared" si="11"/>
        <v>40</v>
      </c>
    </row>
    <row r="166" spans="3:6" x14ac:dyDescent="0.25">
      <c r="C166" s="6">
        <v>2070</v>
      </c>
      <c r="D166" s="6">
        <f t="shared" si="9"/>
        <v>38.333333333333336</v>
      </c>
      <c r="E166" s="6">
        <v>39</v>
      </c>
      <c r="F166" s="6">
        <f t="shared" si="11"/>
        <v>40</v>
      </c>
    </row>
    <row r="167" spans="3:6" x14ac:dyDescent="0.25">
      <c r="C167" s="6">
        <v>2080</v>
      </c>
      <c r="D167" s="6">
        <f t="shared" si="9"/>
        <v>38.518518518518519</v>
      </c>
      <c r="E167" s="6">
        <f t="shared" si="10"/>
        <v>39</v>
      </c>
      <c r="F167" s="6">
        <f t="shared" si="11"/>
        <v>40</v>
      </c>
    </row>
    <row r="168" spans="3:6" x14ac:dyDescent="0.25">
      <c r="C168" s="6">
        <v>2090</v>
      </c>
      <c r="D168" s="6">
        <f t="shared" si="9"/>
        <v>38.703703703703702</v>
      </c>
      <c r="E168" s="6">
        <f t="shared" si="10"/>
        <v>39</v>
      </c>
      <c r="F168" s="6">
        <f t="shared" si="11"/>
        <v>40</v>
      </c>
    </row>
    <row r="169" spans="3:6" x14ac:dyDescent="0.25">
      <c r="C169" s="6">
        <v>2100</v>
      </c>
      <c r="D169" s="6">
        <f t="shared" si="9"/>
        <v>38.888888888888886</v>
      </c>
      <c r="E169" s="6">
        <f t="shared" si="10"/>
        <v>39</v>
      </c>
      <c r="F169" s="6">
        <f t="shared" si="11"/>
        <v>40</v>
      </c>
    </row>
    <row r="170" spans="3:6" x14ac:dyDescent="0.25">
      <c r="C170" s="6">
        <v>2110</v>
      </c>
      <c r="D170" s="6">
        <f t="shared" si="9"/>
        <v>39.074074074074076</v>
      </c>
      <c r="E170" s="6">
        <f t="shared" si="10"/>
        <v>39</v>
      </c>
      <c r="F170" s="6">
        <f t="shared" si="11"/>
        <v>40</v>
      </c>
    </row>
    <row r="171" spans="3:6" x14ac:dyDescent="0.25">
      <c r="C171" s="6">
        <v>2120</v>
      </c>
      <c r="D171" s="6">
        <f t="shared" si="9"/>
        <v>39.25925925925926</v>
      </c>
      <c r="E171" s="6">
        <f t="shared" si="10"/>
        <v>39</v>
      </c>
      <c r="F171" s="6">
        <f t="shared" si="11"/>
        <v>40</v>
      </c>
    </row>
    <row r="172" spans="3:6" x14ac:dyDescent="0.25">
      <c r="C172" s="6">
        <v>2130</v>
      </c>
      <c r="D172" s="6">
        <f t="shared" si="9"/>
        <v>39.444444444444443</v>
      </c>
      <c r="E172" s="6">
        <f t="shared" si="10"/>
        <v>39</v>
      </c>
      <c r="F172" s="6">
        <f t="shared" si="11"/>
        <v>40</v>
      </c>
    </row>
    <row r="173" spans="3:6" x14ac:dyDescent="0.25">
      <c r="C173" s="6">
        <v>2140</v>
      </c>
      <c r="D173" s="6">
        <f t="shared" si="9"/>
        <v>39.629629629629626</v>
      </c>
      <c r="E173" s="6">
        <f t="shared" si="10"/>
        <v>40</v>
      </c>
      <c r="F173" s="6">
        <f t="shared" si="11"/>
        <v>40</v>
      </c>
    </row>
    <row r="174" spans="3:6" x14ac:dyDescent="0.25">
      <c r="C174" s="6">
        <v>2150</v>
      </c>
      <c r="D174" s="6">
        <f t="shared" si="9"/>
        <v>39.814814814814817</v>
      </c>
      <c r="E174" s="6">
        <f t="shared" si="10"/>
        <v>40</v>
      </c>
      <c r="F174" s="6">
        <f t="shared" si="11"/>
        <v>40</v>
      </c>
    </row>
    <row r="175" spans="3:6" x14ac:dyDescent="0.25">
      <c r="C175" s="6">
        <v>2160</v>
      </c>
      <c r="D175" s="6">
        <f t="shared" si="9"/>
        <v>40</v>
      </c>
      <c r="E175" s="6">
        <f t="shared" si="10"/>
        <v>40</v>
      </c>
      <c r="F175" s="6">
        <f t="shared" si="11"/>
        <v>40</v>
      </c>
    </row>
    <row r="176" spans="3:6" x14ac:dyDescent="0.25">
      <c r="C176" s="6">
        <v>2170</v>
      </c>
      <c r="D176" s="6">
        <f t="shared" si="9"/>
        <v>40.185185185185183</v>
      </c>
      <c r="E176" s="6">
        <v>41</v>
      </c>
      <c r="F176" s="6">
        <f t="shared" si="11"/>
        <v>42</v>
      </c>
    </row>
    <row r="177" spans="3:6" x14ac:dyDescent="0.25">
      <c r="C177" s="6">
        <v>2180</v>
      </c>
      <c r="D177" s="6">
        <f t="shared" si="9"/>
        <v>40.370370370370374</v>
      </c>
      <c r="E177" s="6">
        <v>41</v>
      </c>
      <c r="F177" s="6">
        <f t="shared" si="11"/>
        <v>42</v>
      </c>
    </row>
    <row r="178" spans="3:6" x14ac:dyDescent="0.25">
      <c r="C178" s="6">
        <v>2190</v>
      </c>
      <c r="D178" s="6">
        <f t="shared" si="9"/>
        <v>40.555555555555557</v>
      </c>
      <c r="E178" s="6">
        <f t="shared" si="10"/>
        <v>41</v>
      </c>
      <c r="F178" s="6">
        <f t="shared" si="11"/>
        <v>42</v>
      </c>
    </row>
    <row r="179" spans="3:6" x14ac:dyDescent="0.25">
      <c r="C179" s="6">
        <v>2200</v>
      </c>
      <c r="D179" s="6">
        <f t="shared" si="9"/>
        <v>40.74074074074074</v>
      </c>
      <c r="E179" s="6">
        <f t="shared" si="10"/>
        <v>41</v>
      </c>
      <c r="F179" s="6">
        <f t="shared" si="11"/>
        <v>42</v>
      </c>
    </row>
    <row r="180" spans="3:6" x14ac:dyDescent="0.25">
      <c r="C180" s="6">
        <v>2210</v>
      </c>
      <c r="D180" s="6">
        <f t="shared" si="9"/>
        <v>40.925925925925924</v>
      </c>
      <c r="E180" s="6">
        <f t="shared" si="10"/>
        <v>41</v>
      </c>
      <c r="F180" s="6">
        <f t="shared" si="11"/>
        <v>42</v>
      </c>
    </row>
    <row r="181" spans="3:6" x14ac:dyDescent="0.25">
      <c r="C181" s="6">
        <v>2220</v>
      </c>
      <c r="D181" s="6">
        <f t="shared" si="9"/>
        <v>41.111111111111114</v>
      </c>
      <c r="E181" s="6">
        <v>41</v>
      </c>
      <c r="F181" s="6">
        <f t="shared" si="11"/>
        <v>42</v>
      </c>
    </row>
    <row r="182" spans="3:6" x14ac:dyDescent="0.25">
      <c r="C182" s="6">
        <v>2230</v>
      </c>
      <c r="D182" s="6">
        <f t="shared" si="9"/>
        <v>41.296296296296298</v>
      </c>
      <c r="E182" s="6">
        <f t="shared" si="10"/>
        <v>41</v>
      </c>
      <c r="F182" s="6">
        <f t="shared" si="11"/>
        <v>42</v>
      </c>
    </row>
    <row r="183" spans="3:6" x14ac:dyDescent="0.25">
      <c r="C183" s="6">
        <v>2240</v>
      </c>
      <c r="D183" s="6">
        <f t="shared" si="9"/>
        <v>41.481481481481481</v>
      </c>
      <c r="E183" s="6">
        <f t="shared" si="10"/>
        <v>41</v>
      </c>
      <c r="F183" s="6">
        <f t="shared" si="11"/>
        <v>42</v>
      </c>
    </row>
    <row r="184" spans="3:6" x14ac:dyDescent="0.25">
      <c r="C184" s="6">
        <v>2250</v>
      </c>
      <c r="D184" s="6">
        <f t="shared" si="9"/>
        <v>41.666666666666664</v>
      </c>
      <c r="E184" s="6">
        <f t="shared" si="10"/>
        <v>42</v>
      </c>
      <c r="F184" s="6">
        <f t="shared" si="11"/>
        <v>42</v>
      </c>
    </row>
    <row r="185" spans="3:6" x14ac:dyDescent="0.25">
      <c r="C185" s="6">
        <v>2260</v>
      </c>
      <c r="D185" s="6">
        <f t="shared" si="9"/>
        <v>41.851851851851855</v>
      </c>
      <c r="E185" s="6">
        <f t="shared" si="10"/>
        <v>42</v>
      </c>
      <c r="F185" s="6">
        <f t="shared" si="11"/>
        <v>42</v>
      </c>
    </row>
    <row r="186" spans="3:6" x14ac:dyDescent="0.25">
      <c r="C186" s="6">
        <v>2270</v>
      </c>
      <c r="D186" s="6">
        <f t="shared" si="9"/>
        <v>42.037037037037038</v>
      </c>
      <c r="E186" s="6">
        <f t="shared" si="10"/>
        <v>42</v>
      </c>
      <c r="F186" s="6">
        <f t="shared" si="11"/>
        <v>42</v>
      </c>
    </row>
    <row r="187" spans="3:6" x14ac:dyDescent="0.25">
      <c r="C187" s="6">
        <v>2280</v>
      </c>
      <c r="D187" s="6">
        <f t="shared" si="9"/>
        <v>42.222222222222221</v>
      </c>
      <c r="E187" s="6">
        <v>43</v>
      </c>
      <c r="F187" s="6">
        <f t="shared" si="11"/>
        <v>44</v>
      </c>
    </row>
    <row r="188" spans="3:6" x14ac:dyDescent="0.25">
      <c r="C188" s="6">
        <v>2290</v>
      </c>
      <c r="D188" s="6">
        <f t="shared" si="9"/>
        <v>42.407407407407405</v>
      </c>
      <c r="E188" s="6">
        <v>43</v>
      </c>
      <c r="F188" s="6">
        <f t="shared" si="11"/>
        <v>44</v>
      </c>
    </row>
    <row r="189" spans="3:6" x14ac:dyDescent="0.25">
      <c r="C189" s="6">
        <v>2300</v>
      </c>
      <c r="D189" s="6">
        <f t="shared" si="9"/>
        <v>42.592592592592595</v>
      </c>
      <c r="E189" s="6">
        <f t="shared" si="10"/>
        <v>43</v>
      </c>
      <c r="F189" s="6">
        <f t="shared" si="11"/>
        <v>44</v>
      </c>
    </row>
    <row r="190" spans="3:6" x14ac:dyDescent="0.25">
      <c r="C190" s="6">
        <v>2310</v>
      </c>
      <c r="D190" s="6">
        <f t="shared" si="9"/>
        <v>42.777777777777779</v>
      </c>
      <c r="E190" s="6">
        <f t="shared" si="10"/>
        <v>43</v>
      </c>
      <c r="F190" s="6">
        <f t="shared" si="11"/>
        <v>44</v>
      </c>
    </row>
    <row r="191" spans="3:6" x14ac:dyDescent="0.25">
      <c r="C191" s="6">
        <v>2320</v>
      </c>
      <c r="D191" s="6">
        <f t="shared" si="9"/>
        <v>42.962962962962962</v>
      </c>
      <c r="E191" s="6">
        <f t="shared" si="10"/>
        <v>43</v>
      </c>
      <c r="F191" s="6">
        <f t="shared" si="11"/>
        <v>44</v>
      </c>
    </row>
    <row r="192" spans="3:6" x14ac:dyDescent="0.25">
      <c r="C192" s="6">
        <v>2330</v>
      </c>
      <c r="D192" s="6">
        <f t="shared" si="9"/>
        <v>43.148148148148145</v>
      </c>
      <c r="E192" s="6">
        <f t="shared" si="10"/>
        <v>43</v>
      </c>
      <c r="F192" s="6">
        <f t="shared" si="11"/>
        <v>44</v>
      </c>
    </row>
    <row r="193" spans="3:6" x14ac:dyDescent="0.25">
      <c r="C193" s="6">
        <v>2340</v>
      </c>
      <c r="D193" s="6">
        <f t="shared" si="9"/>
        <v>43.333333333333336</v>
      </c>
      <c r="E193" s="6">
        <f t="shared" si="10"/>
        <v>43</v>
      </c>
      <c r="F193" s="6">
        <f t="shared" si="11"/>
        <v>44</v>
      </c>
    </row>
    <row r="194" spans="3:6" x14ac:dyDescent="0.25">
      <c r="C194" s="6">
        <v>2350</v>
      </c>
      <c r="D194" s="6">
        <f t="shared" si="9"/>
        <v>43.518518518518519</v>
      </c>
      <c r="E194" s="6">
        <f t="shared" si="10"/>
        <v>44</v>
      </c>
      <c r="F194" s="6">
        <f t="shared" si="11"/>
        <v>44</v>
      </c>
    </row>
    <row r="195" spans="3:6" x14ac:dyDescent="0.25">
      <c r="C195" s="6">
        <v>2360</v>
      </c>
      <c r="D195" s="6">
        <f t="shared" si="9"/>
        <v>43.703703703703702</v>
      </c>
      <c r="E195" s="6">
        <f t="shared" si="10"/>
        <v>44</v>
      </c>
      <c r="F195" s="6">
        <f t="shared" si="11"/>
        <v>44</v>
      </c>
    </row>
    <row r="196" spans="3:6" x14ac:dyDescent="0.25">
      <c r="C196" s="6">
        <v>2370</v>
      </c>
      <c r="D196" s="6">
        <f t="shared" si="9"/>
        <v>43.888888888888886</v>
      </c>
      <c r="E196" s="6">
        <f t="shared" si="10"/>
        <v>44</v>
      </c>
      <c r="F196" s="6">
        <f t="shared" si="11"/>
        <v>44</v>
      </c>
    </row>
    <row r="197" spans="3:6" x14ac:dyDescent="0.25">
      <c r="C197" s="6">
        <v>2380</v>
      </c>
      <c r="D197" s="6">
        <f t="shared" si="9"/>
        <v>44.074074074074076</v>
      </c>
      <c r="E197" s="6">
        <v>45</v>
      </c>
      <c r="F197" s="6">
        <f t="shared" si="11"/>
        <v>46</v>
      </c>
    </row>
    <row r="198" spans="3:6" x14ac:dyDescent="0.25">
      <c r="C198" s="6">
        <v>2390</v>
      </c>
      <c r="D198" s="6">
        <f t="shared" si="9"/>
        <v>44.25925925925926</v>
      </c>
      <c r="E198" s="6">
        <v>45</v>
      </c>
      <c r="F198" s="6">
        <f t="shared" si="11"/>
        <v>46</v>
      </c>
    </row>
    <row r="199" spans="3:6" x14ac:dyDescent="0.25">
      <c r="C199" s="6">
        <v>2400</v>
      </c>
      <c r="D199" s="6">
        <f t="shared" si="9"/>
        <v>44.444444444444443</v>
      </c>
      <c r="E199" s="6">
        <v>45</v>
      </c>
      <c r="F199" s="6">
        <f t="shared" si="11"/>
        <v>46</v>
      </c>
    </row>
    <row r="200" spans="3:6" x14ac:dyDescent="0.25">
      <c r="C200" s="6">
        <v>2410</v>
      </c>
      <c r="D200" s="6">
        <f t="shared" si="9"/>
        <v>44.629629629629626</v>
      </c>
      <c r="E200" s="6">
        <f t="shared" si="10"/>
        <v>45</v>
      </c>
      <c r="F200" s="6">
        <f t="shared" si="11"/>
        <v>46</v>
      </c>
    </row>
    <row r="201" spans="3:6" x14ac:dyDescent="0.25">
      <c r="C201" s="6">
        <v>2420</v>
      </c>
      <c r="D201" s="6">
        <f t="shared" si="9"/>
        <v>44.814814814814817</v>
      </c>
      <c r="E201" s="6">
        <f t="shared" si="10"/>
        <v>45</v>
      </c>
      <c r="F201" s="6">
        <f t="shared" si="11"/>
        <v>46</v>
      </c>
    </row>
    <row r="202" spans="3:6" x14ac:dyDescent="0.25">
      <c r="C202" s="6">
        <v>2430</v>
      </c>
      <c r="D202" s="6">
        <f t="shared" si="9"/>
        <v>45</v>
      </c>
      <c r="E202" s="6">
        <f t="shared" si="10"/>
        <v>45</v>
      </c>
      <c r="F202" s="6">
        <f t="shared" si="11"/>
        <v>46</v>
      </c>
    </row>
    <row r="203" spans="3:6" x14ac:dyDescent="0.25">
      <c r="C203" s="6">
        <v>2440</v>
      </c>
      <c r="D203" s="6">
        <f t="shared" si="9"/>
        <v>45.185185185185183</v>
      </c>
      <c r="E203" s="6">
        <f t="shared" si="10"/>
        <v>45</v>
      </c>
      <c r="F203" s="6">
        <f t="shared" si="11"/>
        <v>46</v>
      </c>
    </row>
    <row r="204" spans="3:6" x14ac:dyDescent="0.25">
      <c r="C204" s="6">
        <v>2450</v>
      </c>
      <c r="D204" s="6">
        <f t="shared" si="9"/>
        <v>45.370370370370374</v>
      </c>
      <c r="E204" s="6">
        <f t="shared" si="10"/>
        <v>45</v>
      </c>
      <c r="F204" s="6">
        <f t="shared" si="11"/>
        <v>46</v>
      </c>
    </row>
    <row r="205" spans="3:6" x14ac:dyDescent="0.25">
      <c r="C205" s="6">
        <v>2460</v>
      </c>
      <c r="D205" s="6">
        <f t="shared" si="9"/>
        <v>45.555555555555557</v>
      </c>
      <c r="E205" s="6">
        <f t="shared" si="10"/>
        <v>46</v>
      </c>
      <c r="F205" s="6">
        <f t="shared" si="11"/>
        <v>46</v>
      </c>
    </row>
    <row r="206" spans="3:6" x14ac:dyDescent="0.25">
      <c r="C206" s="6">
        <v>2470</v>
      </c>
      <c r="D206" s="6">
        <f t="shared" si="9"/>
        <v>45.74074074074074</v>
      </c>
      <c r="E206" s="6">
        <f t="shared" si="10"/>
        <v>46</v>
      </c>
      <c r="F206" s="6">
        <f t="shared" si="11"/>
        <v>46</v>
      </c>
    </row>
    <row r="207" spans="3:6" x14ac:dyDescent="0.25">
      <c r="C207" s="6">
        <v>2480</v>
      </c>
      <c r="D207" s="6">
        <f t="shared" si="9"/>
        <v>45.925925925925924</v>
      </c>
      <c r="E207" s="6">
        <f t="shared" si="10"/>
        <v>46</v>
      </c>
      <c r="F207" s="6">
        <f t="shared" si="11"/>
        <v>46</v>
      </c>
    </row>
    <row r="208" spans="3:6" x14ac:dyDescent="0.25">
      <c r="C208" s="6">
        <v>2490</v>
      </c>
      <c r="D208" s="6">
        <f t="shared" si="9"/>
        <v>46.111111111111114</v>
      </c>
      <c r="E208" s="6">
        <v>47</v>
      </c>
      <c r="F208" s="6">
        <f t="shared" si="11"/>
        <v>48</v>
      </c>
    </row>
    <row r="209" spans="3:6" x14ac:dyDescent="0.25">
      <c r="C209" s="6">
        <v>2500</v>
      </c>
      <c r="D209" s="6">
        <f t="shared" si="9"/>
        <v>46.296296296296298</v>
      </c>
      <c r="E209" s="6">
        <v>47</v>
      </c>
      <c r="F209" s="6">
        <f t="shared" si="11"/>
        <v>48</v>
      </c>
    </row>
    <row r="210" spans="3:6" x14ac:dyDescent="0.25">
      <c r="C210" s="6">
        <v>2510</v>
      </c>
      <c r="D210" s="6">
        <f t="shared" si="9"/>
        <v>46.481481481481481</v>
      </c>
      <c r="E210" s="6">
        <v>47</v>
      </c>
      <c r="F210" s="6">
        <f t="shared" si="11"/>
        <v>48</v>
      </c>
    </row>
    <row r="211" spans="3:6" x14ac:dyDescent="0.25">
      <c r="C211" s="6">
        <v>2520</v>
      </c>
      <c r="D211" s="6">
        <f t="shared" si="9"/>
        <v>46.666666666666664</v>
      </c>
      <c r="E211" s="6">
        <f t="shared" si="10"/>
        <v>47</v>
      </c>
      <c r="F211" s="6">
        <f t="shared" si="11"/>
        <v>48</v>
      </c>
    </row>
    <row r="212" spans="3:6" x14ac:dyDescent="0.25">
      <c r="C212" s="6">
        <v>2530</v>
      </c>
      <c r="D212" s="6">
        <f t="shared" si="9"/>
        <v>46.851851851851855</v>
      </c>
      <c r="E212" s="6">
        <f t="shared" si="10"/>
        <v>47</v>
      </c>
      <c r="F212" s="6">
        <f t="shared" si="11"/>
        <v>48</v>
      </c>
    </row>
    <row r="213" spans="3:6" x14ac:dyDescent="0.25">
      <c r="C213" s="6">
        <v>2540</v>
      </c>
      <c r="D213" s="6">
        <f t="shared" si="9"/>
        <v>47.037037037037038</v>
      </c>
      <c r="E213" s="6">
        <f t="shared" si="10"/>
        <v>47</v>
      </c>
      <c r="F213" s="6">
        <f t="shared" si="11"/>
        <v>48</v>
      </c>
    </row>
    <row r="214" spans="3:6" x14ac:dyDescent="0.25">
      <c r="C214" s="6">
        <v>2550</v>
      </c>
      <c r="D214" s="6">
        <f t="shared" si="9"/>
        <v>47.222222222222221</v>
      </c>
      <c r="E214" s="6">
        <f t="shared" si="10"/>
        <v>47</v>
      </c>
      <c r="F214" s="6">
        <f t="shared" si="11"/>
        <v>48</v>
      </c>
    </row>
    <row r="215" spans="3:6" x14ac:dyDescent="0.25">
      <c r="C215" s="6">
        <v>2560</v>
      </c>
      <c r="D215" s="6">
        <f t="shared" si="9"/>
        <v>47.407407407407405</v>
      </c>
      <c r="E215" s="6">
        <f t="shared" si="10"/>
        <v>47</v>
      </c>
      <c r="F215" s="6">
        <f t="shared" si="11"/>
        <v>48</v>
      </c>
    </row>
    <row r="216" spans="3:6" x14ac:dyDescent="0.25">
      <c r="C216" s="6">
        <v>2570</v>
      </c>
      <c r="D216" s="6">
        <f t="shared" si="9"/>
        <v>47.592592592592595</v>
      </c>
      <c r="E216" s="6">
        <f t="shared" si="10"/>
        <v>48</v>
      </c>
      <c r="F216" s="6">
        <f t="shared" si="11"/>
        <v>48</v>
      </c>
    </row>
    <row r="217" spans="3:6" x14ac:dyDescent="0.25">
      <c r="C217" s="6">
        <v>2580</v>
      </c>
      <c r="D217" s="6">
        <f t="shared" si="9"/>
        <v>47.777777777777779</v>
      </c>
      <c r="E217" s="6">
        <f t="shared" si="10"/>
        <v>48</v>
      </c>
      <c r="F217" s="6">
        <f t="shared" si="11"/>
        <v>48</v>
      </c>
    </row>
    <row r="218" spans="3:6" x14ac:dyDescent="0.25">
      <c r="C218" s="6">
        <v>2590</v>
      </c>
      <c r="D218" s="6">
        <f t="shared" si="9"/>
        <v>47.962962962962962</v>
      </c>
      <c r="E218" s="6">
        <f t="shared" si="10"/>
        <v>48</v>
      </c>
      <c r="F218" s="6">
        <f t="shared" si="11"/>
        <v>48</v>
      </c>
    </row>
    <row r="219" spans="3:6" x14ac:dyDescent="0.25">
      <c r="C219" s="6">
        <v>2600</v>
      </c>
      <c r="D219" s="6">
        <f t="shared" si="9"/>
        <v>48.148148148148145</v>
      </c>
      <c r="E219" s="6">
        <v>49</v>
      </c>
      <c r="F219" s="6">
        <f t="shared" si="11"/>
        <v>50</v>
      </c>
    </row>
    <row r="220" spans="3:6" x14ac:dyDescent="0.25">
      <c r="C220" s="6">
        <v>2610</v>
      </c>
      <c r="D220" s="6">
        <f t="shared" si="9"/>
        <v>48.333333333333336</v>
      </c>
      <c r="E220" s="6">
        <v>49</v>
      </c>
      <c r="F220" s="6">
        <f t="shared" si="11"/>
        <v>50</v>
      </c>
    </row>
    <row r="221" spans="3:6" x14ac:dyDescent="0.25">
      <c r="C221" s="6">
        <v>2620</v>
      </c>
      <c r="D221" s="6">
        <f t="shared" si="9"/>
        <v>48.518518518518519</v>
      </c>
      <c r="E221" s="6">
        <f t="shared" si="10"/>
        <v>49</v>
      </c>
      <c r="F221" s="6">
        <f t="shared" si="11"/>
        <v>50</v>
      </c>
    </row>
    <row r="222" spans="3:6" x14ac:dyDescent="0.25">
      <c r="C222" s="6">
        <v>2630</v>
      </c>
      <c r="D222" s="6">
        <f t="shared" si="9"/>
        <v>48.703703703703702</v>
      </c>
      <c r="E222" s="6">
        <f t="shared" si="10"/>
        <v>49</v>
      </c>
      <c r="F222" s="6">
        <f t="shared" si="11"/>
        <v>50</v>
      </c>
    </row>
    <row r="223" spans="3:6" x14ac:dyDescent="0.25">
      <c r="C223" s="6">
        <v>2640</v>
      </c>
      <c r="D223" s="6">
        <f t="shared" si="9"/>
        <v>48.888888888888886</v>
      </c>
      <c r="E223" s="6">
        <f t="shared" si="10"/>
        <v>49</v>
      </c>
      <c r="F223" s="6">
        <f t="shared" si="11"/>
        <v>50</v>
      </c>
    </row>
    <row r="224" spans="3:6" x14ac:dyDescent="0.25">
      <c r="C224" s="6">
        <v>2650</v>
      </c>
      <c r="D224" s="6">
        <f t="shared" si="9"/>
        <v>49.074074074074076</v>
      </c>
      <c r="E224" s="6">
        <f t="shared" si="10"/>
        <v>49</v>
      </c>
      <c r="F224" s="6">
        <f t="shared" si="11"/>
        <v>50</v>
      </c>
    </row>
    <row r="225" spans="3:6" x14ac:dyDescent="0.25">
      <c r="C225" s="6">
        <v>2660</v>
      </c>
      <c r="D225" s="6">
        <f t="shared" si="9"/>
        <v>49.25925925925926</v>
      </c>
      <c r="E225" s="6">
        <f t="shared" si="10"/>
        <v>49</v>
      </c>
      <c r="F225" s="6">
        <f t="shared" si="11"/>
        <v>50</v>
      </c>
    </row>
    <row r="226" spans="3:6" x14ac:dyDescent="0.25">
      <c r="C226" s="6">
        <v>2670</v>
      </c>
      <c r="D226" s="6">
        <f t="shared" si="9"/>
        <v>49.444444444444443</v>
      </c>
      <c r="E226" s="6">
        <f t="shared" si="10"/>
        <v>49</v>
      </c>
      <c r="F226" s="6">
        <f t="shared" si="11"/>
        <v>50</v>
      </c>
    </row>
    <row r="227" spans="3:6" x14ac:dyDescent="0.25">
      <c r="C227" s="6">
        <v>2680</v>
      </c>
      <c r="D227" s="6">
        <f t="shared" ref="D227:D290" si="12">$C227/54</f>
        <v>49.629629629629626</v>
      </c>
      <c r="E227" s="6">
        <f t="shared" ref="E227:E290" si="13">ROUND($C227/54,0)</f>
        <v>50</v>
      </c>
      <c r="F227" s="6">
        <f t="shared" ref="F227:F290" si="14">IF(ISEVEN(($E227)),$E227,EVEN($E227))</f>
        <v>50</v>
      </c>
    </row>
    <row r="228" spans="3:6" x14ac:dyDescent="0.25">
      <c r="C228" s="6">
        <v>2690</v>
      </c>
      <c r="D228" s="6">
        <f t="shared" si="12"/>
        <v>49.814814814814817</v>
      </c>
      <c r="E228" s="6">
        <f t="shared" si="13"/>
        <v>50</v>
      </c>
      <c r="F228" s="6">
        <f t="shared" si="14"/>
        <v>50</v>
      </c>
    </row>
    <row r="229" spans="3:6" x14ac:dyDescent="0.25">
      <c r="C229" s="6">
        <v>2700</v>
      </c>
      <c r="D229" s="6">
        <f t="shared" si="12"/>
        <v>50</v>
      </c>
      <c r="E229" s="6">
        <f t="shared" si="13"/>
        <v>50</v>
      </c>
      <c r="F229" s="6">
        <f t="shared" si="14"/>
        <v>50</v>
      </c>
    </row>
    <row r="230" spans="3:6" x14ac:dyDescent="0.25">
      <c r="C230" s="6">
        <v>2710</v>
      </c>
      <c r="D230" s="6">
        <f t="shared" si="12"/>
        <v>50.185185185185183</v>
      </c>
      <c r="E230" s="6">
        <v>51</v>
      </c>
      <c r="F230" s="6">
        <f t="shared" si="14"/>
        <v>52</v>
      </c>
    </row>
    <row r="231" spans="3:6" x14ac:dyDescent="0.25">
      <c r="C231" s="6">
        <v>2720</v>
      </c>
      <c r="D231" s="6">
        <f t="shared" si="12"/>
        <v>50.370370370370374</v>
      </c>
      <c r="E231" s="6">
        <v>51</v>
      </c>
      <c r="F231" s="6">
        <f t="shared" si="14"/>
        <v>52</v>
      </c>
    </row>
    <row r="232" spans="3:6" x14ac:dyDescent="0.25">
      <c r="C232" s="6">
        <v>2730</v>
      </c>
      <c r="D232" s="6">
        <f t="shared" si="12"/>
        <v>50.555555555555557</v>
      </c>
      <c r="E232" s="6">
        <f t="shared" si="13"/>
        <v>51</v>
      </c>
      <c r="F232" s="6">
        <f t="shared" si="14"/>
        <v>52</v>
      </c>
    </row>
    <row r="233" spans="3:6" x14ac:dyDescent="0.25">
      <c r="C233" s="6">
        <v>2740</v>
      </c>
      <c r="D233" s="6">
        <f t="shared" si="12"/>
        <v>50.74074074074074</v>
      </c>
      <c r="E233" s="6">
        <f t="shared" si="13"/>
        <v>51</v>
      </c>
      <c r="F233" s="6">
        <f t="shared" si="14"/>
        <v>52</v>
      </c>
    </row>
    <row r="234" spans="3:6" x14ac:dyDescent="0.25">
      <c r="C234" s="6">
        <v>2750</v>
      </c>
      <c r="D234" s="6">
        <f t="shared" si="12"/>
        <v>50.925925925925924</v>
      </c>
      <c r="E234" s="6">
        <f t="shared" si="13"/>
        <v>51</v>
      </c>
      <c r="F234" s="6">
        <f t="shared" si="14"/>
        <v>52</v>
      </c>
    </row>
    <row r="235" spans="3:6" x14ac:dyDescent="0.25">
      <c r="C235" s="6">
        <v>2760</v>
      </c>
      <c r="D235" s="6">
        <f t="shared" si="12"/>
        <v>51.111111111111114</v>
      </c>
      <c r="E235" s="6">
        <v>51</v>
      </c>
      <c r="F235" s="6">
        <f t="shared" si="14"/>
        <v>52</v>
      </c>
    </row>
    <row r="236" spans="3:6" x14ac:dyDescent="0.25">
      <c r="C236" s="6">
        <v>2770</v>
      </c>
      <c r="D236" s="6">
        <f t="shared" si="12"/>
        <v>51.296296296296298</v>
      </c>
      <c r="E236" s="6">
        <f t="shared" si="13"/>
        <v>51</v>
      </c>
      <c r="F236" s="6">
        <f t="shared" si="14"/>
        <v>52</v>
      </c>
    </row>
    <row r="237" spans="3:6" x14ac:dyDescent="0.25">
      <c r="C237" s="6">
        <v>2780</v>
      </c>
      <c r="D237" s="6">
        <f t="shared" si="12"/>
        <v>51.481481481481481</v>
      </c>
      <c r="E237" s="6">
        <f t="shared" si="13"/>
        <v>51</v>
      </c>
      <c r="F237" s="6">
        <f t="shared" si="14"/>
        <v>52</v>
      </c>
    </row>
    <row r="238" spans="3:6" x14ac:dyDescent="0.25">
      <c r="C238" s="6">
        <v>2790</v>
      </c>
      <c r="D238" s="6">
        <f t="shared" si="12"/>
        <v>51.666666666666664</v>
      </c>
      <c r="E238" s="6">
        <f t="shared" si="13"/>
        <v>52</v>
      </c>
      <c r="F238" s="6">
        <f t="shared" si="14"/>
        <v>52</v>
      </c>
    </row>
    <row r="239" spans="3:6" x14ac:dyDescent="0.25">
      <c r="C239" s="6">
        <v>2800</v>
      </c>
      <c r="D239" s="6">
        <f t="shared" si="12"/>
        <v>51.851851851851855</v>
      </c>
      <c r="E239" s="6">
        <f t="shared" si="13"/>
        <v>52</v>
      </c>
      <c r="F239" s="6">
        <f t="shared" si="14"/>
        <v>52</v>
      </c>
    </row>
    <row r="240" spans="3:6" x14ac:dyDescent="0.25">
      <c r="C240" s="6">
        <v>2810</v>
      </c>
      <c r="D240" s="6">
        <f t="shared" si="12"/>
        <v>52.037037037037038</v>
      </c>
      <c r="E240" s="6">
        <v>53</v>
      </c>
      <c r="F240" s="6">
        <f t="shared" si="14"/>
        <v>54</v>
      </c>
    </row>
    <row r="241" spans="3:6" x14ac:dyDescent="0.25">
      <c r="C241" s="6">
        <v>2820</v>
      </c>
      <c r="D241" s="6">
        <f t="shared" si="12"/>
        <v>52.222222222222221</v>
      </c>
      <c r="E241" s="6">
        <v>53</v>
      </c>
      <c r="F241" s="6">
        <f t="shared" si="14"/>
        <v>54</v>
      </c>
    </row>
    <row r="242" spans="3:6" x14ac:dyDescent="0.25">
      <c r="C242" s="6">
        <v>2830</v>
      </c>
      <c r="D242" s="6">
        <f t="shared" si="12"/>
        <v>52.407407407407405</v>
      </c>
      <c r="E242" s="6">
        <v>53</v>
      </c>
      <c r="F242" s="6">
        <f t="shared" si="14"/>
        <v>54</v>
      </c>
    </row>
    <row r="243" spans="3:6" x14ac:dyDescent="0.25">
      <c r="C243" s="6">
        <v>2840</v>
      </c>
      <c r="D243" s="6">
        <f t="shared" si="12"/>
        <v>52.592592592592595</v>
      </c>
      <c r="E243" s="6">
        <f t="shared" si="13"/>
        <v>53</v>
      </c>
      <c r="F243" s="6">
        <f t="shared" si="14"/>
        <v>54</v>
      </c>
    </row>
    <row r="244" spans="3:6" x14ac:dyDescent="0.25">
      <c r="C244" s="6">
        <v>2850</v>
      </c>
      <c r="D244" s="6">
        <f t="shared" si="12"/>
        <v>52.777777777777779</v>
      </c>
      <c r="E244" s="6">
        <f t="shared" si="13"/>
        <v>53</v>
      </c>
      <c r="F244" s="6">
        <f t="shared" si="14"/>
        <v>54</v>
      </c>
    </row>
    <row r="245" spans="3:6" x14ac:dyDescent="0.25">
      <c r="C245" s="6">
        <v>2860</v>
      </c>
      <c r="D245" s="6">
        <f t="shared" si="12"/>
        <v>52.962962962962962</v>
      </c>
      <c r="E245" s="6">
        <f t="shared" si="13"/>
        <v>53</v>
      </c>
      <c r="F245" s="6">
        <f t="shared" si="14"/>
        <v>54</v>
      </c>
    </row>
    <row r="246" spans="3:6" x14ac:dyDescent="0.25">
      <c r="C246" s="6">
        <v>2870</v>
      </c>
      <c r="D246" s="6">
        <f t="shared" si="12"/>
        <v>53.148148148148145</v>
      </c>
      <c r="E246" s="6">
        <f t="shared" si="13"/>
        <v>53</v>
      </c>
      <c r="F246" s="6">
        <f t="shared" si="14"/>
        <v>54</v>
      </c>
    </row>
    <row r="247" spans="3:6" x14ac:dyDescent="0.25">
      <c r="C247" s="6">
        <v>2880</v>
      </c>
      <c r="D247" s="6">
        <f t="shared" si="12"/>
        <v>53.333333333333336</v>
      </c>
      <c r="E247" s="6">
        <f t="shared" si="13"/>
        <v>53</v>
      </c>
      <c r="F247" s="6">
        <f t="shared" si="14"/>
        <v>54</v>
      </c>
    </row>
    <row r="248" spans="3:6" x14ac:dyDescent="0.25">
      <c r="C248" s="6">
        <v>2890</v>
      </c>
      <c r="D248" s="6">
        <f t="shared" si="12"/>
        <v>53.518518518518519</v>
      </c>
      <c r="E248" s="6">
        <f t="shared" si="13"/>
        <v>54</v>
      </c>
      <c r="F248" s="6">
        <f t="shared" si="14"/>
        <v>54</v>
      </c>
    </row>
    <row r="249" spans="3:6" x14ac:dyDescent="0.25">
      <c r="C249" s="6">
        <v>2900</v>
      </c>
      <c r="D249" s="6">
        <f t="shared" si="12"/>
        <v>53.703703703703702</v>
      </c>
      <c r="E249" s="6">
        <f t="shared" si="13"/>
        <v>54</v>
      </c>
      <c r="F249" s="6">
        <f t="shared" si="14"/>
        <v>54</v>
      </c>
    </row>
    <row r="250" spans="3:6" x14ac:dyDescent="0.25">
      <c r="C250" s="6">
        <v>2910</v>
      </c>
      <c r="D250" s="6">
        <f t="shared" si="12"/>
        <v>53.888888888888886</v>
      </c>
      <c r="E250" s="6">
        <f t="shared" si="13"/>
        <v>54</v>
      </c>
      <c r="F250" s="6">
        <f t="shared" si="14"/>
        <v>54</v>
      </c>
    </row>
    <row r="251" spans="3:6" x14ac:dyDescent="0.25">
      <c r="C251" s="6">
        <v>2920</v>
      </c>
      <c r="D251" s="6">
        <f t="shared" si="12"/>
        <v>54.074074074074076</v>
      </c>
      <c r="E251" s="6">
        <v>55</v>
      </c>
      <c r="F251" s="6">
        <f t="shared" si="14"/>
        <v>56</v>
      </c>
    </row>
    <row r="252" spans="3:6" x14ac:dyDescent="0.25">
      <c r="C252" s="6">
        <v>2930</v>
      </c>
      <c r="D252" s="6">
        <f t="shared" si="12"/>
        <v>54.25925925925926</v>
      </c>
      <c r="E252" s="6">
        <v>55</v>
      </c>
      <c r="F252" s="6">
        <f t="shared" si="14"/>
        <v>56</v>
      </c>
    </row>
    <row r="253" spans="3:6" x14ac:dyDescent="0.25">
      <c r="C253" s="6">
        <v>2940</v>
      </c>
      <c r="D253" s="6">
        <f t="shared" si="12"/>
        <v>54.444444444444443</v>
      </c>
      <c r="E253" s="6">
        <v>55</v>
      </c>
      <c r="F253" s="6">
        <f t="shared" si="14"/>
        <v>56</v>
      </c>
    </row>
    <row r="254" spans="3:6" x14ac:dyDescent="0.25">
      <c r="C254" s="6">
        <v>2950</v>
      </c>
      <c r="D254" s="6">
        <f t="shared" si="12"/>
        <v>54.629629629629626</v>
      </c>
      <c r="E254" s="6">
        <f t="shared" si="13"/>
        <v>55</v>
      </c>
      <c r="F254" s="6">
        <f t="shared" si="14"/>
        <v>56</v>
      </c>
    </row>
    <row r="255" spans="3:6" x14ac:dyDescent="0.25">
      <c r="C255" s="6">
        <v>2960</v>
      </c>
      <c r="D255" s="6">
        <f t="shared" si="12"/>
        <v>54.814814814814817</v>
      </c>
      <c r="E255" s="6">
        <f t="shared" si="13"/>
        <v>55</v>
      </c>
      <c r="F255" s="6">
        <f t="shared" si="14"/>
        <v>56</v>
      </c>
    </row>
    <row r="256" spans="3:6" x14ac:dyDescent="0.25">
      <c r="C256" s="6">
        <v>2970</v>
      </c>
      <c r="D256" s="6">
        <f t="shared" si="12"/>
        <v>55</v>
      </c>
      <c r="E256" s="6">
        <f t="shared" si="13"/>
        <v>55</v>
      </c>
      <c r="F256" s="6">
        <f t="shared" si="14"/>
        <v>56</v>
      </c>
    </row>
    <row r="257" spans="3:6" x14ac:dyDescent="0.25">
      <c r="C257" s="6">
        <v>2980</v>
      </c>
      <c r="D257" s="6">
        <f t="shared" si="12"/>
        <v>55.185185185185183</v>
      </c>
      <c r="E257" s="6">
        <f t="shared" si="13"/>
        <v>55</v>
      </c>
      <c r="F257" s="6">
        <f t="shared" si="14"/>
        <v>56</v>
      </c>
    </row>
    <row r="258" spans="3:6" x14ac:dyDescent="0.25">
      <c r="C258" s="6">
        <v>2990</v>
      </c>
      <c r="D258" s="6">
        <f t="shared" si="12"/>
        <v>55.370370370370374</v>
      </c>
      <c r="E258" s="6">
        <f t="shared" si="13"/>
        <v>55</v>
      </c>
      <c r="F258" s="6">
        <f t="shared" si="14"/>
        <v>56</v>
      </c>
    </row>
    <row r="259" spans="3:6" x14ac:dyDescent="0.25">
      <c r="C259" s="6">
        <v>3000</v>
      </c>
      <c r="D259" s="6">
        <f t="shared" si="12"/>
        <v>55.555555555555557</v>
      </c>
      <c r="E259" s="6">
        <f t="shared" si="13"/>
        <v>56</v>
      </c>
      <c r="F259" s="6">
        <f t="shared" si="14"/>
        <v>56</v>
      </c>
    </row>
    <row r="260" spans="3:6" x14ac:dyDescent="0.25">
      <c r="C260" s="6">
        <v>3010</v>
      </c>
      <c r="D260" s="6">
        <f t="shared" si="12"/>
        <v>55.74074074074074</v>
      </c>
      <c r="E260" s="6">
        <f t="shared" si="13"/>
        <v>56</v>
      </c>
      <c r="F260" s="6">
        <f t="shared" si="14"/>
        <v>56</v>
      </c>
    </row>
    <row r="261" spans="3:6" x14ac:dyDescent="0.25">
      <c r="C261" s="6">
        <v>3020</v>
      </c>
      <c r="D261" s="6">
        <f t="shared" si="12"/>
        <v>55.925925925925924</v>
      </c>
      <c r="E261" s="6">
        <f t="shared" si="13"/>
        <v>56</v>
      </c>
      <c r="F261" s="6">
        <f t="shared" si="14"/>
        <v>56</v>
      </c>
    </row>
    <row r="262" spans="3:6" x14ac:dyDescent="0.25">
      <c r="C262" s="6">
        <v>3030</v>
      </c>
      <c r="D262" s="6">
        <f t="shared" si="12"/>
        <v>56.111111111111114</v>
      </c>
      <c r="E262" s="6">
        <v>57</v>
      </c>
      <c r="F262" s="6">
        <f t="shared" si="14"/>
        <v>58</v>
      </c>
    </row>
    <row r="263" spans="3:6" x14ac:dyDescent="0.25">
      <c r="C263" s="6">
        <v>3040</v>
      </c>
      <c r="D263" s="6">
        <f t="shared" si="12"/>
        <v>56.296296296296298</v>
      </c>
      <c r="E263" s="6">
        <v>57</v>
      </c>
      <c r="F263" s="6">
        <f t="shared" si="14"/>
        <v>58</v>
      </c>
    </row>
    <row r="264" spans="3:6" x14ac:dyDescent="0.25">
      <c r="C264" s="6">
        <v>3050</v>
      </c>
      <c r="D264" s="6">
        <f t="shared" si="12"/>
        <v>56.481481481481481</v>
      </c>
      <c r="E264" s="6">
        <v>57</v>
      </c>
      <c r="F264" s="6">
        <f t="shared" si="14"/>
        <v>58</v>
      </c>
    </row>
    <row r="265" spans="3:6" x14ac:dyDescent="0.25">
      <c r="C265" s="6">
        <v>3060</v>
      </c>
      <c r="D265" s="6">
        <f t="shared" si="12"/>
        <v>56.666666666666664</v>
      </c>
      <c r="E265" s="6">
        <f t="shared" si="13"/>
        <v>57</v>
      </c>
      <c r="F265" s="6">
        <f t="shared" si="14"/>
        <v>58</v>
      </c>
    </row>
    <row r="266" spans="3:6" x14ac:dyDescent="0.25">
      <c r="C266" s="6">
        <v>3070</v>
      </c>
      <c r="D266" s="6">
        <f t="shared" si="12"/>
        <v>56.851851851851855</v>
      </c>
      <c r="E266" s="6">
        <f t="shared" si="13"/>
        <v>57</v>
      </c>
      <c r="F266" s="6">
        <f t="shared" si="14"/>
        <v>58</v>
      </c>
    </row>
    <row r="267" spans="3:6" x14ac:dyDescent="0.25">
      <c r="C267" s="6">
        <v>3080</v>
      </c>
      <c r="D267" s="6">
        <f t="shared" si="12"/>
        <v>57.037037037037038</v>
      </c>
      <c r="E267" s="6">
        <f t="shared" si="13"/>
        <v>57</v>
      </c>
      <c r="F267" s="6">
        <f t="shared" si="14"/>
        <v>58</v>
      </c>
    </row>
    <row r="268" spans="3:6" x14ac:dyDescent="0.25">
      <c r="C268" s="6">
        <v>3090</v>
      </c>
      <c r="D268" s="6">
        <f t="shared" si="12"/>
        <v>57.222222222222221</v>
      </c>
      <c r="E268" s="6">
        <f t="shared" si="13"/>
        <v>57</v>
      </c>
      <c r="F268" s="6">
        <f t="shared" si="14"/>
        <v>58</v>
      </c>
    </row>
    <row r="269" spans="3:6" x14ac:dyDescent="0.25">
      <c r="C269" s="6">
        <v>3100</v>
      </c>
      <c r="D269" s="6">
        <f t="shared" si="12"/>
        <v>57.407407407407405</v>
      </c>
      <c r="E269" s="6">
        <f t="shared" si="13"/>
        <v>57</v>
      </c>
      <c r="F269" s="6">
        <f t="shared" si="14"/>
        <v>58</v>
      </c>
    </row>
    <row r="270" spans="3:6" x14ac:dyDescent="0.25">
      <c r="C270" s="6">
        <v>3110</v>
      </c>
      <c r="D270" s="6">
        <f t="shared" si="12"/>
        <v>57.592592592592595</v>
      </c>
      <c r="E270" s="6">
        <f t="shared" si="13"/>
        <v>58</v>
      </c>
      <c r="F270" s="6">
        <f t="shared" si="14"/>
        <v>58</v>
      </c>
    </row>
    <row r="271" spans="3:6" x14ac:dyDescent="0.25">
      <c r="C271" s="6">
        <v>3120</v>
      </c>
      <c r="D271" s="6">
        <f t="shared" si="12"/>
        <v>57.777777777777779</v>
      </c>
      <c r="E271" s="6">
        <f t="shared" si="13"/>
        <v>58</v>
      </c>
      <c r="F271" s="6">
        <f t="shared" si="14"/>
        <v>58</v>
      </c>
    </row>
    <row r="272" spans="3:6" x14ac:dyDescent="0.25">
      <c r="C272" s="6">
        <v>3130</v>
      </c>
      <c r="D272" s="6">
        <f t="shared" si="12"/>
        <v>57.962962962962962</v>
      </c>
      <c r="E272" s="6">
        <f t="shared" si="13"/>
        <v>58</v>
      </c>
      <c r="F272" s="6">
        <f t="shared" si="14"/>
        <v>58</v>
      </c>
    </row>
    <row r="273" spans="3:6" x14ac:dyDescent="0.25">
      <c r="C273" s="6">
        <v>3140</v>
      </c>
      <c r="D273" s="6">
        <f t="shared" si="12"/>
        <v>58.148148148148145</v>
      </c>
      <c r="E273" s="6">
        <v>59</v>
      </c>
      <c r="F273" s="6">
        <f t="shared" si="14"/>
        <v>60</v>
      </c>
    </row>
    <row r="274" spans="3:6" x14ac:dyDescent="0.25">
      <c r="C274" s="6">
        <v>3150</v>
      </c>
      <c r="D274" s="6">
        <f t="shared" si="12"/>
        <v>58.333333333333336</v>
      </c>
      <c r="E274" s="6">
        <v>59</v>
      </c>
      <c r="F274" s="6">
        <f t="shared" si="14"/>
        <v>60</v>
      </c>
    </row>
    <row r="275" spans="3:6" x14ac:dyDescent="0.25">
      <c r="C275" s="6">
        <v>3160</v>
      </c>
      <c r="D275" s="6">
        <f t="shared" si="12"/>
        <v>58.518518518518519</v>
      </c>
      <c r="E275" s="6">
        <f t="shared" si="13"/>
        <v>59</v>
      </c>
      <c r="F275" s="6">
        <f t="shared" si="14"/>
        <v>60</v>
      </c>
    </row>
    <row r="276" spans="3:6" x14ac:dyDescent="0.25">
      <c r="C276" s="6">
        <v>3170</v>
      </c>
      <c r="D276" s="6">
        <f t="shared" si="12"/>
        <v>58.703703703703702</v>
      </c>
      <c r="E276" s="6">
        <f t="shared" si="13"/>
        <v>59</v>
      </c>
      <c r="F276" s="6">
        <f t="shared" si="14"/>
        <v>60</v>
      </c>
    </row>
    <row r="277" spans="3:6" x14ac:dyDescent="0.25">
      <c r="C277" s="6">
        <v>3180</v>
      </c>
      <c r="D277" s="6">
        <f t="shared" si="12"/>
        <v>58.888888888888886</v>
      </c>
      <c r="E277" s="6">
        <f t="shared" si="13"/>
        <v>59</v>
      </c>
      <c r="F277" s="6">
        <f t="shared" si="14"/>
        <v>60</v>
      </c>
    </row>
    <row r="278" spans="3:6" x14ac:dyDescent="0.25">
      <c r="C278" s="6">
        <v>3190</v>
      </c>
      <c r="D278" s="6">
        <f t="shared" si="12"/>
        <v>59.074074074074076</v>
      </c>
      <c r="E278" s="6">
        <f t="shared" si="13"/>
        <v>59</v>
      </c>
      <c r="F278" s="6">
        <f t="shared" si="14"/>
        <v>60</v>
      </c>
    </row>
    <row r="279" spans="3:6" x14ac:dyDescent="0.25">
      <c r="C279" s="6">
        <v>3200</v>
      </c>
      <c r="D279" s="6">
        <f t="shared" si="12"/>
        <v>59.25925925925926</v>
      </c>
      <c r="E279" s="6">
        <f t="shared" si="13"/>
        <v>59</v>
      </c>
      <c r="F279" s="6">
        <f t="shared" si="14"/>
        <v>60</v>
      </c>
    </row>
    <row r="280" spans="3:6" x14ac:dyDescent="0.25">
      <c r="C280" s="6">
        <v>3210</v>
      </c>
      <c r="D280" s="6">
        <f t="shared" si="12"/>
        <v>59.444444444444443</v>
      </c>
      <c r="E280" s="6">
        <f t="shared" si="13"/>
        <v>59</v>
      </c>
      <c r="F280" s="6">
        <f t="shared" si="14"/>
        <v>60</v>
      </c>
    </row>
    <row r="281" spans="3:6" x14ac:dyDescent="0.25">
      <c r="C281" s="6">
        <v>3220</v>
      </c>
      <c r="D281" s="6">
        <f t="shared" si="12"/>
        <v>59.629629629629626</v>
      </c>
      <c r="E281" s="6">
        <f t="shared" si="13"/>
        <v>60</v>
      </c>
      <c r="F281" s="6">
        <f t="shared" si="14"/>
        <v>60</v>
      </c>
    </row>
    <row r="282" spans="3:6" x14ac:dyDescent="0.25">
      <c r="C282" s="6">
        <v>3230</v>
      </c>
      <c r="D282" s="6">
        <f t="shared" si="12"/>
        <v>59.814814814814817</v>
      </c>
      <c r="E282" s="6">
        <f t="shared" si="13"/>
        <v>60</v>
      </c>
      <c r="F282" s="6">
        <f t="shared" si="14"/>
        <v>60</v>
      </c>
    </row>
    <row r="283" spans="3:6" x14ac:dyDescent="0.25">
      <c r="C283" s="6">
        <v>3240</v>
      </c>
      <c r="D283" s="6">
        <f t="shared" si="12"/>
        <v>60</v>
      </c>
      <c r="E283" s="6">
        <f t="shared" si="13"/>
        <v>60</v>
      </c>
      <c r="F283" s="6">
        <f t="shared" si="14"/>
        <v>60</v>
      </c>
    </row>
    <row r="284" spans="3:6" x14ac:dyDescent="0.25">
      <c r="C284" s="6">
        <v>3250</v>
      </c>
      <c r="D284" s="6">
        <f t="shared" si="12"/>
        <v>60.185185185185183</v>
      </c>
      <c r="E284" s="6">
        <v>61</v>
      </c>
      <c r="F284" s="6">
        <f t="shared" si="14"/>
        <v>62</v>
      </c>
    </row>
    <row r="285" spans="3:6" x14ac:dyDescent="0.25">
      <c r="C285" s="6">
        <v>3260</v>
      </c>
      <c r="D285" s="6">
        <f t="shared" si="12"/>
        <v>60.370370370370374</v>
      </c>
      <c r="E285" s="6">
        <v>61</v>
      </c>
      <c r="F285" s="6">
        <f t="shared" si="14"/>
        <v>62</v>
      </c>
    </row>
    <row r="286" spans="3:6" x14ac:dyDescent="0.25">
      <c r="C286" s="6">
        <v>3270</v>
      </c>
      <c r="D286" s="6">
        <f t="shared" si="12"/>
        <v>60.555555555555557</v>
      </c>
      <c r="E286" s="6">
        <f t="shared" si="13"/>
        <v>61</v>
      </c>
      <c r="F286" s="6">
        <f t="shared" si="14"/>
        <v>62</v>
      </c>
    </row>
    <row r="287" spans="3:6" x14ac:dyDescent="0.25">
      <c r="C287" s="6">
        <v>3280</v>
      </c>
      <c r="D287" s="6">
        <f t="shared" si="12"/>
        <v>60.74074074074074</v>
      </c>
      <c r="E287" s="6">
        <f t="shared" si="13"/>
        <v>61</v>
      </c>
      <c r="F287" s="6">
        <f t="shared" si="14"/>
        <v>62</v>
      </c>
    </row>
    <row r="288" spans="3:6" x14ac:dyDescent="0.25">
      <c r="C288" s="6">
        <v>3290</v>
      </c>
      <c r="D288" s="6">
        <f t="shared" si="12"/>
        <v>60.925925925925924</v>
      </c>
      <c r="E288" s="6">
        <f t="shared" si="13"/>
        <v>61</v>
      </c>
      <c r="F288" s="6">
        <f t="shared" si="14"/>
        <v>62</v>
      </c>
    </row>
    <row r="289" spans="3:6" x14ac:dyDescent="0.25">
      <c r="C289" s="6">
        <v>3300</v>
      </c>
      <c r="D289" s="6">
        <f t="shared" si="12"/>
        <v>61.111111111111114</v>
      </c>
      <c r="E289" s="6">
        <f t="shared" si="13"/>
        <v>61</v>
      </c>
      <c r="F289" s="6">
        <f t="shared" si="14"/>
        <v>62</v>
      </c>
    </row>
    <row r="290" spans="3:6" x14ac:dyDescent="0.25">
      <c r="C290" s="6">
        <v>3310</v>
      </c>
      <c r="D290" s="6">
        <f t="shared" si="12"/>
        <v>61.296296296296298</v>
      </c>
      <c r="E290" s="6">
        <f t="shared" si="13"/>
        <v>61</v>
      </c>
      <c r="F290" s="6">
        <f t="shared" si="14"/>
        <v>62</v>
      </c>
    </row>
    <row r="291" spans="3:6" x14ac:dyDescent="0.25">
      <c r="C291" s="6">
        <v>3320</v>
      </c>
      <c r="D291" s="6">
        <f t="shared" ref="D291:D354" si="15">$C291/54</f>
        <v>61.481481481481481</v>
      </c>
      <c r="E291" s="6">
        <f t="shared" ref="E291:E354" si="16">ROUND($C291/54,0)</f>
        <v>61</v>
      </c>
      <c r="F291" s="6">
        <f t="shared" ref="F291:F354" si="17">IF(ISEVEN(($E291)),$E291,EVEN($E291))</f>
        <v>62</v>
      </c>
    </row>
    <row r="292" spans="3:6" x14ac:dyDescent="0.25">
      <c r="C292" s="6">
        <v>3330</v>
      </c>
      <c r="D292" s="6">
        <f t="shared" si="15"/>
        <v>61.666666666666664</v>
      </c>
      <c r="E292" s="6">
        <f t="shared" si="16"/>
        <v>62</v>
      </c>
      <c r="F292" s="6">
        <f t="shared" si="17"/>
        <v>62</v>
      </c>
    </row>
    <row r="293" spans="3:6" x14ac:dyDescent="0.25">
      <c r="C293" s="6">
        <v>3340</v>
      </c>
      <c r="D293" s="6">
        <f t="shared" si="15"/>
        <v>61.851851851851855</v>
      </c>
      <c r="E293" s="6">
        <f t="shared" si="16"/>
        <v>62</v>
      </c>
      <c r="F293" s="6">
        <f t="shared" si="17"/>
        <v>62</v>
      </c>
    </row>
    <row r="294" spans="3:6" x14ac:dyDescent="0.25">
      <c r="C294" s="6">
        <v>3350</v>
      </c>
      <c r="D294" s="6">
        <f t="shared" si="15"/>
        <v>62.037037037037038</v>
      </c>
      <c r="E294" s="6">
        <v>63</v>
      </c>
      <c r="F294" s="6">
        <f t="shared" si="17"/>
        <v>64</v>
      </c>
    </row>
    <row r="295" spans="3:6" x14ac:dyDescent="0.25">
      <c r="C295" s="6">
        <v>3360</v>
      </c>
      <c r="D295" s="6">
        <f t="shared" si="15"/>
        <v>62.222222222222221</v>
      </c>
      <c r="E295" s="6">
        <v>63</v>
      </c>
      <c r="F295" s="6">
        <f t="shared" si="17"/>
        <v>64</v>
      </c>
    </row>
    <row r="296" spans="3:6" x14ac:dyDescent="0.25">
      <c r="C296" s="6">
        <v>3370</v>
      </c>
      <c r="D296" s="6">
        <f t="shared" si="15"/>
        <v>62.407407407407405</v>
      </c>
      <c r="E296" s="6">
        <v>63</v>
      </c>
      <c r="F296" s="6">
        <f t="shared" si="17"/>
        <v>64</v>
      </c>
    </row>
    <row r="297" spans="3:6" x14ac:dyDescent="0.25">
      <c r="C297" s="6">
        <v>3380</v>
      </c>
      <c r="D297" s="6">
        <f t="shared" si="15"/>
        <v>62.592592592592595</v>
      </c>
      <c r="E297" s="6">
        <f t="shared" si="16"/>
        <v>63</v>
      </c>
      <c r="F297" s="6">
        <f t="shared" si="17"/>
        <v>64</v>
      </c>
    </row>
    <row r="298" spans="3:6" x14ac:dyDescent="0.25">
      <c r="C298" s="6">
        <v>3390</v>
      </c>
      <c r="D298" s="6">
        <f t="shared" si="15"/>
        <v>62.777777777777779</v>
      </c>
      <c r="E298" s="6">
        <f t="shared" si="16"/>
        <v>63</v>
      </c>
      <c r="F298" s="6">
        <f t="shared" si="17"/>
        <v>64</v>
      </c>
    </row>
    <row r="299" spans="3:6" x14ac:dyDescent="0.25">
      <c r="C299" s="6">
        <v>3400</v>
      </c>
      <c r="D299" s="6">
        <f t="shared" si="15"/>
        <v>62.962962962962962</v>
      </c>
      <c r="E299" s="6">
        <f t="shared" si="16"/>
        <v>63</v>
      </c>
      <c r="F299" s="6">
        <f t="shared" si="17"/>
        <v>64</v>
      </c>
    </row>
    <row r="300" spans="3:6" x14ac:dyDescent="0.25">
      <c r="C300" s="6">
        <v>3410</v>
      </c>
      <c r="D300" s="6">
        <f t="shared" si="15"/>
        <v>63.148148148148145</v>
      </c>
      <c r="E300" s="6">
        <f t="shared" si="16"/>
        <v>63</v>
      </c>
      <c r="F300" s="6">
        <f t="shared" si="17"/>
        <v>64</v>
      </c>
    </row>
    <row r="301" spans="3:6" x14ac:dyDescent="0.25">
      <c r="C301" s="6">
        <v>3420</v>
      </c>
      <c r="D301" s="6">
        <f t="shared" si="15"/>
        <v>63.333333333333336</v>
      </c>
      <c r="E301" s="6">
        <f t="shared" si="16"/>
        <v>63</v>
      </c>
      <c r="F301" s="6">
        <f t="shared" si="17"/>
        <v>64</v>
      </c>
    </row>
    <row r="302" spans="3:6" x14ac:dyDescent="0.25">
      <c r="C302" s="6">
        <v>3430</v>
      </c>
      <c r="D302" s="6">
        <f t="shared" si="15"/>
        <v>63.518518518518519</v>
      </c>
      <c r="E302" s="6">
        <f t="shared" si="16"/>
        <v>64</v>
      </c>
      <c r="F302" s="6">
        <f t="shared" si="17"/>
        <v>64</v>
      </c>
    </row>
    <row r="303" spans="3:6" x14ac:dyDescent="0.25">
      <c r="C303" s="6">
        <v>3440</v>
      </c>
      <c r="D303" s="6">
        <f t="shared" si="15"/>
        <v>63.703703703703702</v>
      </c>
      <c r="E303" s="6">
        <f t="shared" si="16"/>
        <v>64</v>
      </c>
      <c r="F303" s="6">
        <f t="shared" si="17"/>
        <v>64</v>
      </c>
    </row>
    <row r="304" spans="3:6" x14ac:dyDescent="0.25">
      <c r="C304" s="6">
        <v>3450</v>
      </c>
      <c r="D304" s="6">
        <f t="shared" si="15"/>
        <v>63.888888888888886</v>
      </c>
      <c r="E304" s="6">
        <f t="shared" si="16"/>
        <v>64</v>
      </c>
      <c r="F304" s="6">
        <f t="shared" si="17"/>
        <v>64</v>
      </c>
    </row>
    <row r="305" spans="3:6" x14ac:dyDescent="0.25">
      <c r="C305" s="6">
        <v>3460</v>
      </c>
      <c r="D305" s="6">
        <f t="shared" si="15"/>
        <v>64.074074074074076</v>
      </c>
      <c r="E305" s="6">
        <v>65</v>
      </c>
      <c r="F305" s="6">
        <f t="shared" si="17"/>
        <v>66</v>
      </c>
    </row>
    <row r="306" spans="3:6" x14ac:dyDescent="0.25">
      <c r="C306" s="6">
        <v>3470</v>
      </c>
      <c r="D306" s="6">
        <f t="shared" si="15"/>
        <v>64.259259259259252</v>
      </c>
      <c r="E306" s="6">
        <v>65</v>
      </c>
      <c r="F306" s="6">
        <f t="shared" si="17"/>
        <v>66</v>
      </c>
    </row>
    <row r="307" spans="3:6" x14ac:dyDescent="0.25">
      <c r="C307" s="6">
        <v>3480</v>
      </c>
      <c r="D307" s="6">
        <f t="shared" si="15"/>
        <v>64.444444444444443</v>
      </c>
      <c r="E307" s="6">
        <v>65</v>
      </c>
      <c r="F307" s="6">
        <f t="shared" si="17"/>
        <v>66</v>
      </c>
    </row>
    <row r="308" spans="3:6" x14ac:dyDescent="0.25">
      <c r="C308" s="6">
        <v>3490</v>
      </c>
      <c r="D308" s="6">
        <f t="shared" si="15"/>
        <v>64.629629629629633</v>
      </c>
      <c r="E308" s="6">
        <f t="shared" si="16"/>
        <v>65</v>
      </c>
      <c r="F308" s="6">
        <f t="shared" si="17"/>
        <v>66</v>
      </c>
    </row>
    <row r="309" spans="3:6" x14ac:dyDescent="0.25">
      <c r="C309" s="6">
        <v>3500</v>
      </c>
      <c r="D309" s="6">
        <f t="shared" si="15"/>
        <v>64.81481481481481</v>
      </c>
      <c r="E309" s="6">
        <f t="shared" si="16"/>
        <v>65</v>
      </c>
      <c r="F309" s="6">
        <f t="shared" si="17"/>
        <v>66</v>
      </c>
    </row>
    <row r="310" spans="3:6" x14ac:dyDescent="0.25">
      <c r="C310" s="6">
        <v>3510</v>
      </c>
      <c r="D310" s="6">
        <f t="shared" si="15"/>
        <v>65</v>
      </c>
      <c r="E310" s="6">
        <f t="shared" si="16"/>
        <v>65</v>
      </c>
      <c r="F310" s="6">
        <f t="shared" si="17"/>
        <v>66</v>
      </c>
    </row>
    <row r="311" spans="3:6" x14ac:dyDescent="0.25">
      <c r="C311" s="6">
        <v>3520</v>
      </c>
      <c r="D311" s="6">
        <f t="shared" si="15"/>
        <v>65.18518518518519</v>
      </c>
      <c r="E311" s="6">
        <f t="shared" si="16"/>
        <v>65</v>
      </c>
      <c r="F311" s="6">
        <f t="shared" si="17"/>
        <v>66</v>
      </c>
    </row>
    <row r="312" spans="3:6" x14ac:dyDescent="0.25">
      <c r="C312" s="6">
        <v>3530</v>
      </c>
      <c r="D312" s="6">
        <f t="shared" si="15"/>
        <v>65.370370370370367</v>
      </c>
      <c r="E312" s="6">
        <f t="shared" si="16"/>
        <v>65</v>
      </c>
      <c r="F312" s="6">
        <f t="shared" si="17"/>
        <v>66</v>
      </c>
    </row>
    <row r="313" spans="3:6" x14ac:dyDescent="0.25">
      <c r="C313" s="6">
        <v>3540</v>
      </c>
      <c r="D313" s="6">
        <f t="shared" si="15"/>
        <v>65.555555555555557</v>
      </c>
      <c r="E313" s="6">
        <f t="shared" si="16"/>
        <v>66</v>
      </c>
      <c r="F313" s="6">
        <f t="shared" si="17"/>
        <v>66</v>
      </c>
    </row>
    <row r="314" spans="3:6" x14ac:dyDescent="0.25">
      <c r="C314" s="6">
        <v>3550</v>
      </c>
      <c r="D314" s="6">
        <f t="shared" si="15"/>
        <v>65.740740740740748</v>
      </c>
      <c r="E314" s="6">
        <f t="shared" si="16"/>
        <v>66</v>
      </c>
      <c r="F314" s="6">
        <f t="shared" si="17"/>
        <v>66</v>
      </c>
    </row>
    <row r="315" spans="3:6" x14ac:dyDescent="0.25">
      <c r="C315" s="6">
        <v>3560</v>
      </c>
      <c r="D315" s="6">
        <f t="shared" si="15"/>
        <v>65.925925925925924</v>
      </c>
      <c r="E315" s="6">
        <f t="shared" si="16"/>
        <v>66</v>
      </c>
      <c r="F315" s="6">
        <f t="shared" si="17"/>
        <v>66</v>
      </c>
    </row>
    <row r="316" spans="3:6" x14ac:dyDescent="0.25">
      <c r="C316" s="6">
        <v>3570</v>
      </c>
      <c r="D316" s="6">
        <f t="shared" si="15"/>
        <v>66.111111111111114</v>
      </c>
      <c r="E316" s="6">
        <v>67</v>
      </c>
      <c r="F316" s="6">
        <f t="shared" si="17"/>
        <v>68</v>
      </c>
    </row>
    <row r="317" spans="3:6" x14ac:dyDescent="0.25">
      <c r="C317" s="6">
        <v>3580</v>
      </c>
      <c r="D317" s="6">
        <f t="shared" si="15"/>
        <v>66.296296296296291</v>
      </c>
      <c r="E317" s="6">
        <v>67</v>
      </c>
      <c r="F317" s="6">
        <f t="shared" si="17"/>
        <v>68</v>
      </c>
    </row>
    <row r="318" spans="3:6" x14ac:dyDescent="0.25">
      <c r="C318" s="6">
        <v>3590</v>
      </c>
      <c r="D318" s="6">
        <f t="shared" si="15"/>
        <v>66.481481481481481</v>
      </c>
      <c r="E318" s="6">
        <v>67</v>
      </c>
      <c r="F318" s="6">
        <f t="shared" si="17"/>
        <v>68</v>
      </c>
    </row>
    <row r="319" spans="3:6" x14ac:dyDescent="0.25">
      <c r="C319" s="6">
        <v>3600</v>
      </c>
      <c r="D319" s="6">
        <f t="shared" si="15"/>
        <v>66.666666666666671</v>
      </c>
      <c r="E319" s="6">
        <f t="shared" si="16"/>
        <v>67</v>
      </c>
      <c r="F319" s="6">
        <f t="shared" si="17"/>
        <v>68</v>
      </c>
    </row>
    <row r="320" spans="3:6" x14ac:dyDescent="0.25">
      <c r="C320" s="6">
        <v>3610</v>
      </c>
      <c r="D320" s="6">
        <f t="shared" si="15"/>
        <v>66.851851851851848</v>
      </c>
      <c r="E320" s="6">
        <f t="shared" si="16"/>
        <v>67</v>
      </c>
      <c r="F320" s="6">
        <f t="shared" si="17"/>
        <v>68</v>
      </c>
    </row>
    <row r="321" spans="3:6" x14ac:dyDescent="0.25">
      <c r="C321" s="6">
        <v>3620</v>
      </c>
      <c r="D321" s="6">
        <f t="shared" si="15"/>
        <v>67.037037037037038</v>
      </c>
      <c r="E321" s="6">
        <f t="shared" si="16"/>
        <v>67</v>
      </c>
      <c r="F321" s="6">
        <f t="shared" si="17"/>
        <v>68</v>
      </c>
    </row>
    <row r="322" spans="3:6" x14ac:dyDescent="0.25">
      <c r="C322" s="6">
        <v>3630</v>
      </c>
      <c r="D322" s="6">
        <f t="shared" si="15"/>
        <v>67.222222222222229</v>
      </c>
      <c r="E322" s="6">
        <f t="shared" si="16"/>
        <v>67</v>
      </c>
      <c r="F322" s="6">
        <f t="shared" si="17"/>
        <v>68</v>
      </c>
    </row>
    <row r="323" spans="3:6" x14ac:dyDescent="0.25">
      <c r="C323" s="6">
        <v>3640</v>
      </c>
      <c r="D323" s="6">
        <f t="shared" si="15"/>
        <v>67.407407407407405</v>
      </c>
      <c r="E323" s="6">
        <f t="shared" si="16"/>
        <v>67</v>
      </c>
      <c r="F323" s="6">
        <f t="shared" si="17"/>
        <v>68</v>
      </c>
    </row>
    <row r="324" spans="3:6" x14ac:dyDescent="0.25">
      <c r="C324" s="6">
        <v>3650</v>
      </c>
      <c r="D324" s="6">
        <f t="shared" si="15"/>
        <v>67.592592592592595</v>
      </c>
      <c r="E324" s="6">
        <f t="shared" si="16"/>
        <v>68</v>
      </c>
      <c r="F324" s="6">
        <f t="shared" si="17"/>
        <v>68</v>
      </c>
    </row>
    <row r="325" spans="3:6" x14ac:dyDescent="0.25">
      <c r="C325" s="6">
        <v>3660</v>
      </c>
      <c r="D325" s="6">
        <f t="shared" si="15"/>
        <v>67.777777777777771</v>
      </c>
      <c r="E325" s="6">
        <f t="shared" si="16"/>
        <v>68</v>
      </c>
      <c r="F325" s="6">
        <f t="shared" si="17"/>
        <v>68</v>
      </c>
    </row>
    <row r="326" spans="3:6" x14ac:dyDescent="0.25">
      <c r="C326" s="6">
        <v>3670</v>
      </c>
      <c r="D326" s="6">
        <f t="shared" si="15"/>
        <v>67.962962962962962</v>
      </c>
      <c r="E326" s="6">
        <f t="shared" si="16"/>
        <v>68</v>
      </c>
      <c r="F326" s="6">
        <f t="shared" si="17"/>
        <v>68</v>
      </c>
    </row>
    <row r="327" spans="3:6" x14ac:dyDescent="0.25">
      <c r="C327" s="6">
        <v>3680</v>
      </c>
      <c r="D327" s="6">
        <f t="shared" si="15"/>
        <v>68.148148148148152</v>
      </c>
      <c r="E327" s="6">
        <v>69</v>
      </c>
      <c r="F327" s="6">
        <f t="shared" si="17"/>
        <v>70</v>
      </c>
    </row>
    <row r="328" spans="3:6" x14ac:dyDescent="0.25">
      <c r="C328" s="6">
        <v>3690</v>
      </c>
      <c r="D328" s="6">
        <f t="shared" si="15"/>
        <v>68.333333333333329</v>
      </c>
      <c r="E328" s="6">
        <v>69</v>
      </c>
      <c r="F328" s="6">
        <f t="shared" si="17"/>
        <v>70</v>
      </c>
    </row>
    <row r="329" spans="3:6" x14ac:dyDescent="0.25">
      <c r="C329" s="6">
        <v>3700</v>
      </c>
      <c r="D329" s="6">
        <f t="shared" si="15"/>
        <v>68.518518518518519</v>
      </c>
      <c r="E329" s="6">
        <f t="shared" si="16"/>
        <v>69</v>
      </c>
      <c r="F329" s="6">
        <f t="shared" si="17"/>
        <v>70</v>
      </c>
    </row>
    <row r="330" spans="3:6" x14ac:dyDescent="0.25">
      <c r="C330" s="6">
        <v>3710</v>
      </c>
      <c r="D330" s="6">
        <f t="shared" si="15"/>
        <v>68.703703703703709</v>
      </c>
      <c r="E330" s="6">
        <f t="shared" si="16"/>
        <v>69</v>
      </c>
      <c r="F330" s="6">
        <f t="shared" si="17"/>
        <v>70</v>
      </c>
    </row>
    <row r="331" spans="3:6" x14ac:dyDescent="0.25">
      <c r="C331" s="6">
        <v>3720</v>
      </c>
      <c r="D331" s="6">
        <f t="shared" si="15"/>
        <v>68.888888888888886</v>
      </c>
      <c r="E331" s="6">
        <f t="shared" si="16"/>
        <v>69</v>
      </c>
      <c r="F331" s="6">
        <f t="shared" si="17"/>
        <v>70</v>
      </c>
    </row>
    <row r="332" spans="3:6" x14ac:dyDescent="0.25">
      <c r="C332" s="6">
        <v>3730</v>
      </c>
      <c r="D332" s="6">
        <f t="shared" si="15"/>
        <v>69.074074074074076</v>
      </c>
      <c r="E332" s="6">
        <v>70</v>
      </c>
      <c r="F332" s="6">
        <f t="shared" si="17"/>
        <v>70</v>
      </c>
    </row>
    <row r="333" spans="3:6" x14ac:dyDescent="0.25">
      <c r="C333" s="6">
        <v>3740</v>
      </c>
      <c r="D333" s="6">
        <f t="shared" si="15"/>
        <v>69.259259259259252</v>
      </c>
      <c r="E333" s="6">
        <f t="shared" si="16"/>
        <v>69</v>
      </c>
      <c r="F333" s="6">
        <f t="shared" si="17"/>
        <v>70</v>
      </c>
    </row>
    <row r="334" spans="3:6" x14ac:dyDescent="0.25">
      <c r="C334" s="6">
        <v>3750</v>
      </c>
      <c r="D334" s="6">
        <f t="shared" si="15"/>
        <v>69.444444444444443</v>
      </c>
      <c r="E334" s="6">
        <f t="shared" si="16"/>
        <v>69</v>
      </c>
      <c r="F334" s="6">
        <f t="shared" si="17"/>
        <v>70</v>
      </c>
    </row>
    <row r="335" spans="3:6" x14ac:dyDescent="0.25">
      <c r="C335" s="6">
        <v>3760</v>
      </c>
      <c r="D335" s="6">
        <f t="shared" si="15"/>
        <v>69.629629629629633</v>
      </c>
      <c r="E335" s="6">
        <f t="shared" si="16"/>
        <v>70</v>
      </c>
      <c r="F335" s="6">
        <f t="shared" si="17"/>
        <v>70</v>
      </c>
    </row>
    <row r="336" spans="3:6" x14ac:dyDescent="0.25">
      <c r="C336" s="6">
        <v>3770</v>
      </c>
      <c r="D336" s="6">
        <f t="shared" si="15"/>
        <v>69.81481481481481</v>
      </c>
      <c r="E336" s="6">
        <f t="shared" si="16"/>
        <v>70</v>
      </c>
      <c r="F336" s="6">
        <f t="shared" si="17"/>
        <v>70</v>
      </c>
    </row>
    <row r="337" spans="3:6" x14ac:dyDescent="0.25">
      <c r="C337" s="6">
        <v>3780</v>
      </c>
      <c r="D337" s="6">
        <f t="shared" si="15"/>
        <v>70</v>
      </c>
      <c r="E337" s="6">
        <f t="shared" si="16"/>
        <v>70</v>
      </c>
      <c r="F337" s="6">
        <f t="shared" si="17"/>
        <v>70</v>
      </c>
    </row>
    <row r="338" spans="3:6" x14ac:dyDescent="0.25">
      <c r="C338" s="6">
        <v>3790</v>
      </c>
      <c r="D338" s="6">
        <f t="shared" si="15"/>
        <v>70.18518518518519</v>
      </c>
      <c r="E338" s="6">
        <v>71</v>
      </c>
      <c r="F338" s="6">
        <f t="shared" si="17"/>
        <v>72</v>
      </c>
    </row>
    <row r="339" spans="3:6" x14ac:dyDescent="0.25">
      <c r="C339" s="6">
        <v>3800</v>
      </c>
      <c r="D339" s="6">
        <f t="shared" si="15"/>
        <v>70.370370370370367</v>
      </c>
      <c r="E339" s="6">
        <v>71</v>
      </c>
      <c r="F339" s="6">
        <f t="shared" si="17"/>
        <v>72</v>
      </c>
    </row>
    <row r="340" spans="3:6" x14ac:dyDescent="0.25">
      <c r="C340" s="6">
        <v>3810</v>
      </c>
      <c r="D340" s="6">
        <f t="shared" si="15"/>
        <v>70.555555555555557</v>
      </c>
      <c r="E340" s="6">
        <f t="shared" si="16"/>
        <v>71</v>
      </c>
      <c r="F340" s="6">
        <f t="shared" si="17"/>
        <v>72</v>
      </c>
    </row>
    <row r="341" spans="3:6" x14ac:dyDescent="0.25">
      <c r="C341" s="6">
        <v>3820</v>
      </c>
      <c r="D341" s="6">
        <f t="shared" si="15"/>
        <v>70.740740740740748</v>
      </c>
      <c r="E341" s="6">
        <f t="shared" si="16"/>
        <v>71</v>
      </c>
      <c r="F341" s="6">
        <f t="shared" si="17"/>
        <v>72</v>
      </c>
    </row>
    <row r="342" spans="3:6" x14ac:dyDescent="0.25">
      <c r="C342" s="6">
        <v>3830</v>
      </c>
      <c r="D342" s="6">
        <f t="shared" si="15"/>
        <v>70.925925925925924</v>
      </c>
      <c r="E342" s="6">
        <f t="shared" si="16"/>
        <v>71</v>
      </c>
      <c r="F342" s="6">
        <f t="shared" si="17"/>
        <v>72</v>
      </c>
    </row>
    <row r="343" spans="3:6" x14ac:dyDescent="0.25">
      <c r="C343" s="6">
        <v>3840</v>
      </c>
      <c r="D343" s="6">
        <f t="shared" si="15"/>
        <v>71.111111111111114</v>
      </c>
      <c r="E343" s="6">
        <f t="shared" si="16"/>
        <v>71</v>
      </c>
      <c r="F343" s="6">
        <f t="shared" si="17"/>
        <v>72</v>
      </c>
    </row>
    <row r="344" spans="3:6" x14ac:dyDescent="0.25">
      <c r="C344" s="6">
        <v>3850</v>
      </c>
      <c r="D344" s="6">
        <f t="shared" si="15"/>
        <v>71.296296296296291</v>
      </c>
      <c r="E344" s="6">
        <f t="shared" si="16"/>
        <v>71</v>
      </c>
      <c r="F344" s="6">
        <f t="shared" si="17"/>
        <v>72</v>
      </c>
    </row>
    <row r="345" spans="3:6" x14ac:dyDescent="0.25">
      <c r="C345" s="6">
        <v>3860</v>
      </c>
      <c r="D345" s="6">
        <f t="shared" si="15"/>
        <v>71.481481481481481</v>
      </c>
      <c r="E345" s="6">
        <f t="shared" si="16"/>
        <v>71</v>
      </c>
      <c r="F345" s="6">
        <f t="shared" si="17"/>
        <v>72</v>
      </c>
    </row>
    <row r="346" spans="3:6" x14ac:dyDescent="0.25">
      <c r="C346" s="6">
        <v>3870</v>
      </c>
      <c r="D346" s="6">
        <f t="shared" si="15"/>
        <v>71.666666666666671</v>
      </c>
      <c r="E346" s="6">
        <f t="shared" si="16"/>
        <v>72</v>
      </c>
      <c r="F346" s="6">
        <f t="shared" si="17"/>
        <v>72</v>
      </c>
    </row>
    <row r="347" spans="3:6" x14ac:dyDescent="0.25">
      <c r="C347" s="6">
        <v>3880</v>
      </c>
      <c r="D347" s="6">
        <f t="shared" si="15"/>
        <v>71.851851851851848</v>
      </c>
      <c r="E347" s="6">
        <f t="shared" si="16"/>
        <v>72</v>
      </c>
      <c r="F347" s="6">
        <f t="shared" si="17"/>
        <v>72</v>
      </c>
    </row>
    <row r="348" spans="3:6" x14ac:dyDescent="0.25">
      <c r="C348" s="6">
        <v>3890</v>
      </c>
      <c r="D348" s="6">
        <f t="shared" si="15"/>
        <v>72.037037037037038</v>
      </c>
      <c r="E348" s="6">
        <v>73</v>
      </c>
      <c r="F348" s="6">
        <f t="shared" si="17"/>
        <v>74</v>
      </c>
    </row>
    <row r="349" spans="3:6" x14ac:dyDescent="0.25">
      <c r="C349" s="6">
        <v>3900</v>
      </c>
      <c r="D349" s="6">
        <f t="shared" si="15"/>
        <v>72.222222222222229</v>
      </c>
      <c r="E349" s="6">
        <v>73</v>
      </c>
      <c r="F349" s="6">
        <f t="shared" si="17"/>
        <v>74</v>
      </c>
    </row>
    <row r="350" spans="3:6" x14ac:dyDescent="0.25">
      <c r="C350" s="6">
        <v>3910</v>
      </c>
      <c r="D350" s="6">
        <f t="shared" si="15"/>
        <v>72.407407407407405</v>
      </c>
      <c r="E350" s="6">
        <v>73</v>
      </c>
      <c r="F350" s="6">
        <f t="shared" si="17"/>
        <v>74</v>
      </c>
    </row>
    <row r="351" spans="3:6" x14ac:dyDescent="0.25">
      <c r="C351" s="6">
        <v>3920</v>
      </c>
      <c r="D351" s="6">
        <f t="shared" si="15"/>
        <v>72.592592592592595</v>
      </c>
      <c r="E351" s="6">
        <f t="shared" si="16"/>
        <v>73</v>
      </c>
      <c r="F351" s="6">
        <f t="shared" si="17"/>
        <v>74</v>
      </c>
    </row>
    <row r="352" spans="3:6" x14ac:dyDescent="0.25">
      <c r="C352" s="6">
        <v>3930</v>
      </c>
      <c r="D352" s="6">
        <f t="shared" si="15"/>
        <v>72.777777777777771</v>
      </c>
      <c r="E352" s="6">
        <f t="shared" si="16"/>
        <v>73</v>
      </c>
      <c r="F352" s="6">
        <f t="shared" si="17"/>
        <v>74</v>
      </c>
    </row>
    <row r="353" spans="3:6" x14ac:dyDescent="0.25">
      <c r="C353" s="6">
        <v>3940</v>
      </c>
      <c r="D353" s="6">
        <f t="shared" si="15"/>
        <v>72.962962962962962</v>
      </c>
      <c r="E353" s="6">
        <f t="shared" si="16"/>
        <v>73</v>
      </c>
      <c r="F353" s="6">
        <f t="shared" si="17"/>
        <v>74</v>
      </c>
    </row>
    <row r="354" spans="3:6" x14ac:dyDescent="0.25">
      <c r="C354" s="6">
        <v>3950</v>
      </c>
      <c r="D354" s="6">
        <f t="shared" si="15"/>
        <v>73.148148148148152</v>
      </c>
      <c r="E354" s="6">
        <f t="shared" si="16"/>
        <v>73</v>
      </c>
      <c r="F354" s="6">
        <f t="shared" si="17"/>
        <v>74</v>
      </c>
    </row>
    <row r="355" spans="3:6" x14ac:dyDescent="0.25">
      <c r="C355" s="6">
        <v>3960</v>
      </c>
      <c r="D355" s="6">
        <f t="shared" ref="D355:D418" si="18">$C355/54</f>
        <v>73.333333333333329</v>
      </c>
      <c r="E355" s="6">
        <f t="shared" ref="E355:E418" si="19">ROUND($C355/54,0)</f>
        <v>73</v>
      </c>
      <c r="F355" s="6">
        <f t="shared" ref="F355:F418" si="20">IF(ISEVEN(($E355)),$E355,EVEN($E355))</f>
        <v>74</v>
      </c>
    </row>
    <row r="356" spans="3:6" x14ac:dyDescent="0.25">
      <c r="C356" s="6">
        <v>3970</v>
      </c>
      <c r="D356" s="6">
        <f t="shared" si="18"/>
        <v>73.518518518518519</v>
      </c>
      <c r="E356" s="6">
        <f t="shared" si="19"/>
        <v>74</v>
      </c>
      <c r="F356" s="6">
        <f t="shared" si="20"/>
        <v>74</v>
      </c>
    </row>
    <row r="357" spans="3:6" x14ac:dyDescent="0.25">
      <c r="C357" s="6">
        <v>3980</v>
      </c>
      <c r="D357" s="6">
        <f t="shared" si="18"/>
        <v>73.703703703703709</v>
      </c>
      <c r="E357" s="6">
        <f t="shared" si="19"/>
        <v>74</v>
      </c>
      <c r="F357" s="6">
        <f t="shared" si="20"/>
        <v>74</v>
      </c>
    </row>
    <row r="358" spans="3:6" x14ac:dyDescent="0.25">
      <c r="C358" s="6">
        <v>3990</v>
      </c>
      <c r="D358" s="6">
        <f t="shared" si="18"/>
        <v>73.888888888888886</v>
      </c>
      <c r="E358" s="6">
        <f t="shared" si="19"/>
        <v>74</v>
      </c>
      <c r="F358" s="6">
        <f t="shared" si="20"/>
        <v>74</v>
      </c>
    </row>
    <row r="359" spans="3:6" x14ac:dyDescent="0.25">
      <c r="C359" s="6">
        <v>4000</v>
      </c>
      <c r="D359" s="6">
        <f t="shared" si="18"/>
        <v>74.074074074074076</v>
      </c>
      <c r="E359" s="6">
        <v>75</v>
      </c>
      <c r="F359" s="6">
        <f t="shared" si="20"/>
        <v>76</v>
      </c>
    </row>
    <row r="360" spans="3:6" x14ac:dyDescent="0.25">
      <c r="C360" s="6">
        <v>4010</v>
      </c>
      <c r="D360" s="6">
        <f t="shared" si="18"/>
        <v>74.259259259259252</v>
      </c>
      <c r="E360" s="6">
        <v>75</v>
      </c>
      <c r="F360" s="6">
        <f t="shared" si="20"/>
        <v>76</v>
      </c>
    </row>
    <row r="361" spans="3:6" x14ac:dyDescent="0.25">
      <c r="C361" s="6">
        <v>4020</v>
      </c>
      <c r="D361" s="6">
        <f t="shared" si="18"/>
        <v>74.444444444444443</v>
      </c>
      <c r="E361" s="6">
        <v>75</v>
      </c>
      <c r="F361" s="6">
        <f t="shared" si="20"/>
        <v>76</v>
      </c>
    </row>
    <row r="362" spans="3:6" x14ac:dyDescent="0.25">
      <c r="C362" s="6">
        <v>4030</v>
      </c>
      <c r="D362" s="6">
        <f t="shared" si="18"/>
        <v>74.629629629629633</v>
      </c>
      <c r="E362" s="6">
        <f t="shared" si="19"/>
        <v>75</v>
      </c>
      <c r="F362" s="6">
        <f t="shared" si="20"/>
        <v>76</v>
      </c>
    </row>
    <row r="363" spans="3:6" x14ac:dyDescent="0.25">
      <c r="C363" s="6">
        <v>4040</v>
      </c>
      <c r="D363" s="6">
        <f t="shared" si="18"/>
        <v>74.81481481481481</v>
      </c>
      <c r="E363" s="6">
        <f t="shared" si="19"/>
        <v>75</v>
      </c>
      <c r="F363" s="6">
        <f t="shared" si="20"/>
        <v>76</v>
      </c>
    </row>
    <row r="364" spans="3:6" x14ac:dyDescent="0.25">
      <c r="C364" s="6">
        <v>4050</v>
      </c>
      <c r="D364" s="6">
        <f t="shared" si="18"/>
        <v>75</v>
      </c>
      <c r="E364" s="6">
        <f t="shared" si="19"/>
        <v>75</v>
      </c>
      <c r="F364" s="6">
        <f t="shared" si="20"/>
        <v>76</v>
      </c>
    </row>
    <row r="365" spans="3:6" x14ac:dyDescent="0.25">
      <c r="C365" s="6">
        <v>4060</v>
      </c>
      <c r="D365" s="6">
        <f t="shared" si="18"/>
        <v>75.18518518518519</v>
      </c>
      <c r="E365" s="6">
        <f t="shared" si="19"/>
        <v>75</v>
      </c>
      <c r="F365" s="6">
        <f t="shared" si="20"/>
        <v>76</v>
      </c>
    </row>
    <row r="366" spans="3:6" x14ac:dyDescent="0.25">
      <c r="C366" s="6">
        <v>4070</v>
      </c>
      <c r="D366" s="6">
        <f t="shared" si="18"/>
        <v>75.370370370370367</v>
      </c>
      <c r="E366" s="6">
        <f t="shared" si="19"/>
        <v>75</v>
      </c>
      <c r="F366" s="6">
        <f t="shared" si="20"/>
        <v>76</v>
      </c>
    </row>
    <row r="367" spans="3:6" x14ac:dyDescent="0.25">
      <c r="C367" s="6">
        <v>4080</v>
      </c>
      <c r="D367" s="6">
        <f t="shared" si="18"/>
        <v>75.555555555555557</v>
      </c>
      <c r="E367" s="6">
        <f t="shared" si="19"/>
        <v>76</v>
      </c>
      <c r="F367" s="6">
        <f t="shared" si="20"/>
        <v>76</v>
      </c>
    </row>
    <row r="368" spans="3:6" x14ac:dyDescent="0.25">
      <c r="C368" s="6">
        <v>4090</v>
      </c>
      <c r="D368" s="6">
        <f t="shared" si="18"/>
        <v>75.740740740740748</v>
      </c>
      <c r="E368" s="6">
        <f t="shared" si="19"/>
        <v>76</v>
      </c>
      <c r="F368" s="6">
        <f t="shared" si="20"/>
        <v>76</v>
      </c>
    </row>
    <row r="369" spans="3:6" x14ac:dyDescent="0.25">
      <c r="C369" s="6">
        <v>4100</v>
      </c>
      <c r="D369" s="6">
        <f t="shared" si="18"/>
        <v>75.925925925925924</v>
      </c>
      <c r="E369" s="6">
        <f t="shared" si="19"/>
        <v>76</v>
      </c>
      <c r="F369" s="6">
        <f t="shared" si="20"/>
        <v>76</v>
      </c>
    </row>
    <row r="370" spans="3:6" x14ac:dyDescent="0.25">
      <c r="C370" s="6">
        <v>4110</v>
      </c>
      <c r="D370" s="6">
        <f t="shared" si="18"/>
        <v>76.111111111111114</v>
      </c>
      <c r="E370" s="6">
        <v>77</v>
      </c>
      <c r="F370" s="6">
        <f t="shared" si="20"/>
        <v>78</v>
      </c>
    </row>
    <row r="371" spans="3:6" x14ac:dyDescent="0.25">
      <c r="C371" s="6">
        <v>4120</v>
      </c>
      <c r="D371" s="6">
        <f t="shared" si="18"/>
        <v>76.296296296296291</v>
      </c>
      <c r="E371" s="6">
        <v>77</v>
      </c>
      <c r="F371" s="6">
        <f t="shared" si="20"/>
        <v>78</v>
      </c>
    </row>
    <row r="372" spans="3:6" x14ac:dyDescent="0.25">
      <c r="C372" s="6">
        <v>4130</v>
      </c>
      <c r="D372" s="6">
        <f t="shared" si="18"/>
        <v>76.481481481481481</v>
      </c>
      <c r="E372" s="6">
        <v>77</v>
      </c>
      <c r="F372" s="6">
        <f t="shared" si="20"/>
        <v>78</v>
      </c>
    </row>
    <row r="373" spans="3:6" x14ac:dyDescent="0.25">
      <c r="C373" s="6">
        <v>4140</v>
      </c>
      <c r="D373" s="6">
        <f t="shared" si="18"/>
        <v>76.666666666666671</v>
      </c>
      <c r="E373" s="6">
        <f t="shared" si="19"/>
        <v>77</v>
      </c>
      <c r="F373" s="6">
        <f t="shared" si="20"/>
        <v>78</v>
      </c>
    </row>
    <row r="374" spans="3:6" x14ac:dyDescent="0.25">
      <c r="C374" s="6">
        <v>4150</v>
      </c>
      <c r="D374" s="6">
        <f t="shared" si="18"/>
        <v>76.851851851851848</v>
      </c>
      <c r="E374" s="6">
        <f t="shared" si="19"/>
        <v>77</v>
      </c>
      <c r="F374" s="6">
        <f t="shared" si="20"/>
        <v>78</v>
      </c>
    </row>
    <row r="375" spans="3:6" x14ac:dyDescent="0.25">
      <c r="C375" s="6">
        <v>4160</v>
      </c>
      <c r="D375" s="6">
        <f t="shared" si="18"/>
        <v>77.037037037037038</v>
      </c>
      <c r="E375" s="6">
        <f t="shared" si="19"/>
        <v>77</v>
      </c>
      <c r="F375" s="6">
        <f t="shared" si="20"/>
        <v>78</v>
      </c>
    </row>
    <row r="376" spans="3:6" x14ac:dyDescent="0.25">
      <c r="C376" s="6">
        <v>4170</v>
      </c>
      <c r="D376" s="6">
        <f t="shared" si="18"/>
        <v>77.222222222222229</v>
      </c>
      <c r="E376" s="6">
        <f t="shared" si="19"/>
        <v>77</v>
      </c>
      <c r="F376" s="6">
        <f t="shared" si="20"/>
        <v>78</v>
      </c>
    </row>
    <row r="377" spans="3:6" x14ac:dyDescent="0.25">
      <c r="C377" s="6">
        <v>4180</v>
      </c>
      <c r="D377" s="6">
        <f t="shared" si="18"/>
        <v>77.407407407407405</v>
      </c>
      <c r="E377" s="6">
        <f t="shared" si="19"/>
        <v>77</v>
      </c>
      <c r="F377" s="6">
        <f t="shared" si="20"/>
        <v>78</v>
      </c>
    </row>
    <row r="378" spans="3:6" x14ac:dyDescent="0.25">
      <c r="C378" s="6">
        <v>4190</v>
      </c>
      <c r="D378" s="6">
        <f t="shared" si="18"/>
        <v>77.592592592592595</v>
      </c>
      <c r="E378" s="6">
        <f t="shared" si="19"/>
        <v>78</v>
      </c>
      <c r="F378" s="6">
        <f t="shared" si="20"/>
        <v>78</v>
      </c>
    </row>
    <row r="379" spans="3:6" x14ac:dyDescent="0.25">
      <c r="C379" s="6">
        <v>4200</v>
      </c>
      <c r="D379" s="6">
        <f t="shared" si="18"/>
        <v>77.777777777777771</v>
      </c>
      <c r="E379" s="6">
        <f t="shared" si="19"/>
        <v>78</v>
      </c>
      <c r="F379" s="6">
        <f t="shared" si="20"/>
        <v>78</v>
      </c>
    </row>
    <row r="380" spans="3:6" x14ac:dyDescent="0.25">
      <c r="C380" s="6">
        <v>4210</v>
      </c>
      <c r="D380" s="6">
        <f t="shared" si="18"/>
        <v>77.962962962962962</v>
      </c>
      <c r="E380" s="6">
        <f t="shared" si="19"/>
        <v>78</v>
      </c>
      <c r="F380" s="6">
        <f t="shared" si="20"/>
        <v>78</v>
      </c>
    </row>
    <row r="381" spans="3:6" x14ac:dyDescent="0.25">
      <c r="C381" s="6">
        <v>4220</v>
      </c>
      <c r="D381" s="6">
        <f t="shared" si="18"/>
        <v>78.148148148148152</v>
      </c>
      <c r="E381" s="6">
        <v>79</v>
      </c>
      <c r="F381" s="6">
        <f t="shared" si="20"/>
        <v>80</v>
      </c>
    </row>
    <row r="382" spans="3:6" x14ac:dyDescent="0.25">
      <c r="C382" s="6">
        <v>4230</v>
      </c>
      <c r="D382" s="6">
        <f t="shared" si="18"/>
        <v>78.333333333333329</v>
      </c>
      <c r="E382" s="6">
        <v>79</v>
      </c>
      <c r="F382" s="6">
        <f t="shared" si="20"/>
        <v>80</v>
      </c>
    </row>
    <row r="383" spans="3:6" x14ac:dyDescent="0.25">
      <c r="C383" s="6">
        <v>4240</v>
      </c>
      <c r="D383" s="6">
        <f t="shared" si="18"/>
        <v>78.518518518518519</v>
      </c>
      <c r="E383" s="6">
        <f t="shared" si="19"/>
        <v>79</v>
      </c>
      <c r="F383" s="6">
        <f t="shared" si="20"/>
        <v>80</v>
      </c>
    </row>
    <row r="384" spans="3:6" x14ac:dyDescent="0.25">
      <c r="C384" s="6">
        <v>4250</v>
      </c>
      <c r="D384" s="6">
        <f t="shared" si="18"/>
        <v>78.703703703703709</v>
      </c>
      <c r="E384" s="6">
        <f t="shared" si="19"/>
        <v>79</v>
      </c>
      <c r="F384" s="6">
        <f t="shared" si="20"/>
        <v>80</v>
      </c>
    </row>
    <row r="385" spans="3:6" x14ac:dyDescent="0.25">
      <c r="C385" s="6">
        <v>4260</v>
      </c>
      <c r="D385" s="6">
        <f t="shared" si="18"/>
        <v>78.888888888888886</v>
      </c>
      <c r="E385" s="6">
        <f t="shared" si="19"/>
        <v>79</v>
      </c>
      <c r="F385" s="6">
        <f t="shared" si="20"/>
        <v>80</v>
      </c>
    </row>
    <row r="386" spans="3:6" x14ac:dyDescent="0.25">
      <c r="C386" s="6">
        <v>4270</v>
      </c>
      <c r="D386" s="6">
        <f t="shared" si="18"/>
        <v>79.074074074074076</v>
      </c>
      <c r="E386" s="6">
        <f t="shared" si="19"/>
        <v>79</v>
      </c>
      <c r="F386" s="6">
        <f t="shared" si="20"/>
        <v>80</v>
      </c>
    </row>
    <row r="387" spans="3:6" x14ac:dyDescent="0.25">
      <c r="C387" s="6">
        <v>4280</v>
      </c>
      <c r="D387" s="6">
        <f t="shared" si="18"/>
        <v>79.259259259259252</v>
      </c>
      <c r="E387" s="6">
        <f t="shared" si="19"/>
        <v>79</v>
      </c>
      <c r="F387" s="6">
        <f t="shared" si="20"/>
        <v>80</v>
      </c>
    </row>
    <row r="388" spans="3:6" x14ac:dyDescent="0.25">
      <c r="C388" s="6">
        <v>4290</v>
      </c>
      <c r="D388" s="6">
        <f t="shared" si="18"/>
        <v>79.444444444444443</v>
      </c>
      <c r="E388" s="6">
        <f t="shared" si="19"/>
        <v>79</v>
      </c>
      <c r="F388" s="6">
        <f t="shared" si="20"/>
        <v>80</v>
      </c>
    </row>
    <row r="389" spans="3:6" x14ac:dyDescent="0.25">
      <c r="C389" s="6">
        <v>4300</v>
      </c>
      <c r="D389" s="6">
        <f t="shared" si="18"/>
        <v>79.629629629629633</v>
      </c>
      <c r="E389" s="6">
        <f t="shared" si="19"/>
        <v>80</v>
      </c>
      <c r="F389" s="6">
        <f t="shared" si="20"/>
        <v>80</v>
      </c>
    </row>
    <row r="390" spans="3:6" x14ac:dyDescent="0.25">
      <c r="C390" s="6">
        <v>4310</v>
      </c>
      <c r="D390" s="6">
        <f t="shared" si="18"/>
        <v>79.81481481481481</v>
      </c>
      <c r="E390" s="6">
        <f t="shared" si="19"/>
        <v>80</v>
      </c>
      <c r="F390" s="6">
        <f t="shared" si="20"/>
        <v>80</v>
      </c>
    </row>
    <row r="391" spans="3:6" x14ac:dyDescent="0.25">
      <c r="C391" s="6">
        <v>4320</v>
      </c>
      <c r="D391" s="6">
        <f t="shared" si="18"/>
        <v>80</v>
      </c>
      <c r="E391" s="6">
        <f t="shared" si="19"/>
        <v>80</v>
      </c>
      <c r="F391" s="6">
        <f t="shared" si="20"/>
        <v>80</v>
      </c>
    </row>
    <row r="392" spans="3:6" x14ac:dyDescent="0.25">
      <c r="C392" s="6">
        <v>4330</v>
      </c>
      <c r="D392" s="6">
        <f t="shared" si="18"/>
        <v>80.18518518518519</v>
      </c>
      <c r="E392" s="6">
        <v>81</v>
      </c>
      <c r="F392" s="6">
        <f t="shared" si="20"/>
        <v>82</v>
      </c>
    </row>
    <row r="393" spans="3:6" x14ac:dyDescent="0.25">
      <c r="C393" s="6">
        <v>4340</v>
      </c>
      <c r="D393" s="6">
        <f t="shared" si="18"/>
        <v>80.370370370370367</v>
      </c>
      <c r="E393" s="6">
        <v>81</v>
      </c>
      <c r="F393" s="6">
        <f t="shared" si="20"/>
        <v>82</v>
      </c>
    </row>
    <row r="394" spans="3:6" x14ac:dyDescent="0.25">
      <c r="C394" s="6">
        <v>4350</v>
      </c>
      <c r="D394" s="6">
        <f t="shared" si="18"/>
        <v>80.555555555555557</v>
      </c>
      <c r="E394" s="6">
        <f t="shared" si="19"/>
        <v>81</v>
      </c>
      <c r="F394" s="6">
        <f t="shared" si="20"/>
        <v>82</v>
      </c>
    </row>
    <row r="395" spans="3:6" x14ac:dyDescent="0.25">
      <c r="C395" s="6">
        <v>4360</v>
      </c>
      <c r="D395" s="6">
        <f t="shared" si="18"/>
        <v>80.740740740740748</v>
      </c>
      <c r="E395" s="6">
        <f t="shared" si="19"/>
        <v>81</v>
      </c>
      <c r="F395" s="6">
        <f t="shared" si="20"/>
        <v>82</v>
      </c>
    </row>
    <row r="396" spans="3:6" x14ac:dyDescent="0.25">
      <c r="C396" s="6">
        <v>4370</v>
      </c>
      <c r="D396" s="6">
        <f t="shared" si="18"/>
        <v>80.925925925925924</v>
      </c>
      <c r="E396" s="6">
        <f t="shared" si="19"/>
        <v>81</v>
      </c>
      <c r="F396" s="6">
        <f t="shared" si="20"/>
        <v>82</v>
      </c>
    </row>
    <row r="397" spans="3:6" x14ac:dyDescent="0.25">
      <c r="C397" s="6">
        <v>4380</v>
      </c>
      <c r="D397" s="6">
        <f t="shared" si="18"/>
        <v>81.111111111111114</v>
      </c>
      <c r="E397" s="6">
        <f t="shared" si="19"/>
        <v>81</v>
      </c>
      <c r="F397" s="6">
        <f t="shared" si="20"/>
        <v>82</v>
      </c>
    </row>
    <row r="398" spans="3:6" x14ac:dyDescent="0.25">
      <c r="C398" s="6">
        <v>4390</v>
      </c>
      <c r="D398" s="6">
        <f t="shared" si="18"/>
        <v>81.296296296296291</v>
      </c>
      <c r="E398" s="6">
        <f t="shared" si="19"/>
        <v>81</v>
      </c>
      <c r="F398" s="6">
        <f t="shared" si="20"/>
        <v>82</v>
      </c>
    </row>
    <row r="399" spans="3:6" x14ac:dyDescent="0.25">
      <c r="C399" s="6">
        <v>4400</v>
      </c>
      <c r="D399" s="6">
        <f t="shared" si="18"/>
        <v>81.481481481481481</v>
      </c>
      <c r="E399" s="6">
        <f t="shared" si="19"/>
        <v>81</v>
      </c>
      <c r="F399" s="6">
        <f t="shared" si="20"/>
        <v>82</v>
      </c>
    </row>
    <row r="400" spans="3:6" x14ac:dyDescent="0.25">
      <c r="C400" s="6">
        <v>4410</v>
      </c>
      <c r="D400" s="6">
        <f t="shared" si="18"/>
        <v>81.666666666666671</v>
      </c>
      <c r="E400" s="6">
        <f t="shared" si="19"/>
        <v>82</v>
      </c>
      <c r="F400" s="6">
        <f t="shared" si="20"/>
        <v>82</v>
      </c>
    </row>
    <row r="401" spans="3:6" x14ac:dyDescent="0.25">
      <c r="C401" s="6">
        <v>4420</v>
      </c>
      <c r="D401" s="6">
        <f t="shared" si="18"/>
        <v>81.851851851851848</v>
      </c>
      <c r="E401" s="6">
        <f t="shared" si="19"/>
        <v>82</v>
      </c>
      <c r="F401" s="6">
        <f t="shared" si="20"/>
        <v>82</v>
      </c>
    </row>
    <row r="402" spans="3:6" x14ac:dyDescent="0.25">
      <c r="C402" s="6">
        <v>4430</v>
      </c>
      <c r="D402" s="6">
        <f t="shared" si="18"/>
        <v>82.037037037037038</v>
      </c>
      <c r="E402" s="6">
        <f t="shared" si="19"/>
        <v>82</v>
      </c>
      <c r="F402" s="6">
        <f t="shared" si="20"/>
        <v>82</v>
      </c>
    </row>
    <row r="403" spans="3:6" x14ac:dyDescent="0.25">
      <c r="C403" s="6">
        <v>4440</v>
      </c>
      <c r="D403" s="6">
        <f t="shared" si="18"/>
        <v>82.222222222222229</v>
      </c>
      <c r="E403" s="6">
        <v>83</v>
      </c>
      <c r="F403" s="6">
        <f t="shared" si="20"/>
        <v>84</v>
      </c>
    </row>
    <row r="404" spans="3:6" x14ac:dyDescent="0.25">
      <c r="C404" s="6">
        <v>4450</v>
      </c>
      <c r="D404" s="6">
        <f t="shared" si="18"/>
        <v>82.407407407407405</v>
      </c>
      <c r="E404" s="6">
        <v>83</v>
      </c>
      <c r="F404" s="6">
        <f t="shared" si="20"/>
        <v>84</v>
      </c>
    </row>
    <row r="405" spans="3:6" x14ac:dyDescent="0.25">
      <c r="C405" s="6">
        <v>4460</v>
      </c>
      <c r="D405" s="6">
        <f t="shared" si="18"/>
        <v>82.592592592592595</v>
      </c>
      <c r="E405" s="6">
        <f t="shared" si="19"/>
        <v>83</v>
      </c>
      <c r="F405" s="6">
        <f t="shared" si="20"/>
        <v>84</v>
      </c>
    </row>
    <row r="406" spans="3:6" x14ac:dyDescent="0.25">
      <c r="C406" s="6">
        <v>4470</v>
      </c>
      <c r="D406" s="6">
        <f t="shared" si="18"/>
        <v>82.777777777777771</v>
      </c>
      <c r="E406" s="6">
        <f t="shared" si="19"/>
        <v>83</v>
      </c>
      <c r="F406" s="6">
        <f t="shared" si="20"/>
        <v>84</v>
      </c>
    </row>
    <row r="407" spans="3:6" x14ac:dyDescent="0.25">
      <c r="C407" s="6">
        <v>4480</v>
      </c>
      <c r="D407" s="6">
        <f t="shared" si="18"/>
        <v>82.962962962962962</v>
      </c>
      <c r="E407" s="6">
        <f t="shared" si="19"/>
        <v>83</v>
      </c>
      <c r="F407" s="6">
        <f t="shared" si="20"/>
        <v>84</v>
      </c>
    </row>
    <row r="408" spans="3:6" x14ac:dyDescent="0.25">
      <c r="C408" s="6">
        <v>4490</v>
      </c>
      <c r="D408" s="6">
        <f t="shared" si="18"/>
        <v>83.148148148148152</v>
      </c>
      <c r="E408" s="6">
        <f t="shared" si="19"/>
        <v>83</v>
      </c>
      <c r="F408" s="6">
        <f t="shared" si="20"/>
        <v>84</v>
      </c>
    </row>
    <row r="409" spans="3:6" x14ac:dyDescent="0.25">
      <c r="C409" s="6">
        <v>4500</v>
      </c>
      <c r="D409" s="6">
        <f t="shared" si="18"/>
        <v>83.333333333333329</v>
      </c>
      <c r="E409" s="6">
        <f t="shared" si="19"/>
        <v>83</v>
      </c>
      <c r="F409" s="6">
        <f t="shared" si="20"/>
        <v>84</v>
      </c>
    </row>
    <row r="410" spans="3:6" x14ac:dyDescent="0.25">
      <c r="C410" s="6">
        <v>4510</v>
      </c>
      <c r="D410" s="6">
        <f t="shared" si="18"/>
        <v>83.518518518518519</v>
      </c>
      <c r="E410" s="6">
        <f t="shared" si="19"/>
        <v>84</v>
      </c>
      <c r="F410" s="6">
        <f t="shared" si="20"/>
        <v>84</v>
      </c>
    </row>
    <row r="411" spans="3:6" x14ac:dyDescent="0.25">
      <c r="C411" s="6">
        <v>4520</v>
      </c>
      <c r="D411" s="6">
        <f t="shared" si="18"/>
        <v>83.703703703703709</v>
      </c>
      <c r="E411" s="6">
        <f t="shared" si="19"/>
        <v>84</v>
      </c>
      <c r="F411" s="6">
        <f t="shared" si="20"/>
        <v>84</v>
      </c>
    </row>
    <row r="412" spans="3:6" x14ac:dyDescent="0.25">
      <c r="C412" s="6">
        <v>4530</v>
      </c>
      <c r="D412" s="6">
        <f t="shared" si="18"/>
        <v>83.888888888888886</v>
      </c>
      <c r="E412" s="6">
        <f t="shared" si="19"/>
        <v>84</v>
      </c>
      <c r="F412" s="6">
        <f t="shared" si="20"/>
        <v>84</v>
      </c>
    </row>
    <row r="413" spans="3:6" x14ac:dyDescent="0.25">
      <c r="C413" s="6">
        <v>4540</v>
      </c>
      <c r="D413" s="6">
        <f t="shared" si="18"/>
        <v>84.074074074074076</v>
      </c>
      <c r="E413" s="6">
        <v>85</v>
      </c>
      <c r="F413" s="6">
        <f t="shared" si="20"/>
        <v>86</v>
      </c>
    </row>
    <row r="414" spans="3:6" x14ac:dyDescent="0.25">
      <c r="C414" s="6">
        <v>4550</v>
      </c>
      <c r="D414" s="6">
        <f t="shared" si="18"/>
        <v>84.259259259259252</v>
      </c>
      <c r="E414" s="6">
        <v>85</v>
      </c>
      <c r="F414" s="6">
        <f t="shared" si="20"/>
        <v>86</v>
      </c>
    </row>
    <row r="415" spans="3:6" x14ac:dyDescent="0.25">
      <c r="C415" s="6">
        <v>4560</v>
      </c>
      <c r="D415" s="6">
        <f t="shared" si="18"/>
        <v>84.444444444444443</v>
      </c>
      <c r="E415" s="6">
        <v>85</v>
      </c>
      <c r="F415" s="6">
        <f t="shared" si="20"/>
        <v>86</v>
      </c>
    </row>
    <row r="416" spans="3:6" x14ac:dyDescent="0.25">
      <c r="C416" s="6">
        <v>4570</v>
      </c>
      <c r="D416" s="6">
        <f t="shared" si="18"/>
        <v>84.629629629629633</v>
      </c>
      <c r="E416" s="6">
        <f t="shared" si="19"/>
        <v>85</v>
      </c>
      <c r="F416" s="6">
        <f t="shared" si="20"/>
        <v>86</v>
      </c>
    </row>
    <row r="417" spans="3:6" x14ac:dyDescent="0.25">
      <c r="C417" s="6">
        <v>4580</v>
      </c>
      <c r="D417" s="6">
        <f t="shared" si="18"/>
        <v>84.81481481481481</v>
      </c>
      <c r="E417" s="6">
        <f t="shared" si="19"/>
        <v>85</v>
      </c>
      <c r="F417" s="6">
        <f t="shared" si="20"/>
        <v>86</v>
      </c>
    </row>
    <row r="418" spans="3:6" x14ac:dyDescent="0.25">
      <c r="C418" s="6">
        <v>4590</v>
      </c>
      <c r="D418" s="6">
        <f t="shared" si="18"/>
        <v>85</v>
      </c>
      <c r="E418" s="6">
        <f t="shared" si="19"/>
        <v>85</v>
      </c>
      <c r="F418" s="6">
        <f t="shared" si="20"/>
        <v>86</v>
      </c>
    </row>
    <row r="419" spans="3:6" x14ac:dyDescent="0.25">
      <c r="C419" s="6">
        <v>4600</v>
      </c>
      <c r="D419" s="6">
        <f t="shared" ref="D419:D482" si="21">$C419/54</f>
        <v>85.18518518518519</v>
      </c>
      <c r="E419" s="6">
        <f t="shared" ref="E419:E482" si="22">ROUND($C419/54,0)</f>
        <v>85</v>
      </c>
      <c r="F419" s="6">
        <f t="shared" ref="F419:F482" si="23">IF(ISEVEN(($E419)),$E419,EVEN($E419))</f>
        <v>86</v>
      </c>
    </row>
    <row r="420" spans="3:6" x14ac:dyDescent="0.25">
      <c r="C420" s="6">
        <v>4610</v>
      </c>
      <c r="D420" s="6">
        <f t="shared" si="21"/>
        <v>85.370370370370367</v>
      </c>
      <c r="E420" s="6">
        <f t="shared" si="22"/>
        <v>85</v>
      </c>
      <c r="F420" s="6">
        <f t="shared" si="23"/>
        <v>86</v>
      </c>
    </row>
    <row r="421" spans="3:6" x14ac:dyDescent="0.25">
      <c r="C421" s="6">
        <v>4620</v>
      </c>
      <c r="D421" s="6">
        <f t="shared" si="21"/>
        <v>85.555555555555557</v>
      </c>
      <c r="E421" s="6">
        <f t="shared" si="22"/>
        <v>86</v>
      </c>
      <c r="F421" s="6">
        <f t="shared" si="23"/>
        <v>86</v>
      </c>
    </row>
    <row r="422" spans="3:6" x14ac:dyDescent="0.25">
      <c r="C422" s="6">
        <v>4630</v>
      </c>
      <c r="D422" s="6">
        <f t="shared" si="21"/>
        <v>85.740740740740748</v>
      </c>
      <c r="E422" s="6">
        <f t="shared" si="22"/>
        <v>86</v>
      </c>
      <c r="F422" s="6">
        <f t="shared" si="23"/>
        <v>86</v>
      </c>
    </row>
    <row r="423" spans="3:6" x14ac:dyDescent="0.25">
      <c r="C423" s="6">
        <v>4640</v>
      </c>
      <c r="D423" s="6">
        <f t="shared" si="21"/>
        <v>85.925925925925924</v>
      </c>
      <c r="E423" s="6">
        <f t="shared" si="22"/>
        <v>86</v>
      </c>
      <c r="F423" s="6">
        <f t="shared" si="23"/>
        <v>86</v>
      </c>
    </row>
    <row r="424" spans="3:6" x14ac:dyDescent="0.25">
      <c r="C424" s="6">
        <v>4650</v>
      </c>
      <c r="D424" s="6">
        <f t="shared" si="21"/>
        <v>86.111111111111114</v>
      </c>
      <c r="E424" s="6">
        <v>87</v>
      </c>
      <c r="F424" s="6">
        <f t="shared" si="23"/>
        <v>88</v>
      </c>
    </row>
    <row r="425" spans="3:6" x14ac:dyDescent="0.25">
      <c r="C425" s="6">
        <v>4660</v>
      </c>
      <c r="D425" s="6">
        <f t="shared" si="21"/>
        <v>86.296296296296291</v>
      </c>
      <c r="E425" s="6">
        <v>87</v>
      </c>
      <c r="F425" s="6">
        <f t="shared" si="23"/>
        <v>88</v>
      </c>
    </row>
    <row r="426" spans="3:6" x14ac:dyDescent="0.25">
      <c r="C426" s="6">
        <v>4670</v>
      </c>
      <c r="D426" s="6">
        <f t="shared" si="21"/>
        <v>86.481481481481481</v>
      </c>
      <c r="E426" s="6">
        <v>87</v>
      </c>
      <c r="F426" s="6">
        <f t="shared" si="23"/>
        <v>88</v>
      </c>
    </row>
    <row r="427" spans="3:6" x14ac:dyDescent="0.25">
      <c r="C427" s="6">
        <v>4680</v>
      </c>
      <c r="D427" s="6">
        <f t="shared" si="21"/>
        <v>86.666666666666671</v>
      </c>
      <c r="E427" s="6">
        <f t="shared" si="22"/>
        <v>87</v>
      </c>
      <c r="F427" s="6">
        <f t="shared" si="23"/>
        <v>88</v>
      </c>
    </row>
    <row r="428" spans="3:6" x14ac:dyDescent="0.25">
      <c r="C428" s="6">
        <v>4690</v>
      </c>
      <c r="D428" s="6">
        <f t="shared" si="21"/>
        <v>86.851851851851848</v>
      </c>
      <c r="E428" s="6">
        <f t="shared" si="22"/>
        <v>87</v>
      </c>
      <c r="F428" s="6">
        <f t="shared" si="23"/>
        <v>88</v>
      </c>
    </row>
    <row r="429" spans="3:6" x14ac:dyDescent="0.25">
      <c r="C429" s="6">
        <v>4700</v>
      </c>
      <c r="D429" s="6">
        <f t="shared" si="21"/>
        <v>87.037037037037038</v>
      </c>
      <c r="E429" s="6">
        <f t="shared" si="22"/>
        <v>87</v>
      </c>
      <c r="F429" s="6">
        <f t="shared" si="23"/>
        <v>88</v>
      </c>
    </row>
    <row r="430" spans="3:6" x14ac:dyDescent="0.25">
      <c r="C430" s="6">
        <v>4710</v>
      </c>
      <c r="D430" s="6">
        <f t="shared" si="21"/>
        <v>87.222222222222229</v>
      </c>
      <c r="E430" s="6">
        <f t="shared" si="22"/>
        <v>87</v>
      </c>
      <c r="F430" s="6">
        <f t="shared" si="23"/>
        <v>88</v>
      </c>
    </row>
    <row r="431" spans="3:6" x14ac:dyDescent="0.25">
      <c r="C431" s="6">
        <v>4720</v>
      </c>
      <c r="D431" s="6">
        <f t="shared" si="21"/>
        <v>87.407407407407405</v>
      </c>
      <c r="E431" s="6">
        <f t="shared" si="22"/>
        <v>87</v>
      </c>
      <c r="F431" s="6">
        <f t="shared" si="23"/>
        <v>88</v>
      </c>
    </row>
    <row r="432" spans="3:6" x14ac:dyDescent="0.25">
      <c r="C432" s="6">
        <v>4730</v>
      </c>
      <c r="D432" s="6">
        <f t="shared" si="21"/>
        <v>87.592592592592595</v>
      </c>
      <c r="E432" s="6">
        <f t="shared" si="22"/>
        <v>88</v>
      </c>
      <c r="F432" s="6">
        <f t="shared" si="23"/>
        <v>88</v>
      </c>
    </row>
    <row r="433" spans="3:6" x14ac:dyDescent="0.25">
      <c r="C433" s="6">
        <v>4740</v>
      </c>
      <c r="D433" s="6">
        <f t="shared" si="21"/>
        <v>87.777777777777771</v>
      </c>
      <c r="E433" s="6">
        <f t="shared" si="22"/>
        <v>88</v>
      </c>
      <c r="F433" s="6">
        <f t="shared" si="23"/>
        <v>88</v>
      </c>
    </row>
    <row r="434" spans="3:6" x14ac:dyDescent="0.25">
      <c r="C434" s="6">
        <v>4750</v>
      </c>
      <c r="D434" s="6">
        <f t="shared" si="21"/>
        <v>87.962962962962962</v>
      </c>
      <c r="E434" s="6">
        <f t="shared" si="22"/>
        <v>88</v>
      </c>
      <c r="F434" s="6">
        <f t="shared" si="23"/>
        <v>88</v>
      </c>
    </row>
    <row r="435" spans="3:6" x14ac:dyDescent="0.25">
      <c r="C435" s="6">
        <v>4760</v>
      </c>
      <c r="D435" s="6">
        <f t="shared" si="21"/>
        <v>88.148148148148152</v>
      </c>
      <c r="E435" s="6">
        <f t="shared" si="22"/>
        <v>88</v>
      </c>
      <c r="F435" s="6">
        <f t="shared" si="23"/>
        <v>88</v>
      </c>
    </row>
    <row r="436" spans="3:6" x14ac:dyDescent="0.25">
      <c r="C436" s="6">
        <v>4770</v>
      </c>
      <c r="D436" s="6">
        <f t="shared" si="21"/>
        <v>88.333333333333329</v>
      </c>
      <c r="E436" s="6">
        <v>89</v>
      </c>
      <c r="F436" s="6">
        <f t="shared" si="23"/>
        <v>90</v>
      </c>
    </row>
    <row r="437" spans="3:6" x14ac:dyDescent="0.25">
      <c r="C437" s="6">
        <v>4780</v>
      </c>
      <c r="D437" s="6">
        <f t="shared" si="21"/>
        <v>88.518518518518519</v>
      </c>
      <c r="E437" s="6">
        <f t="shared" si="22"/>
        <v>89</v>
      </c>
      <c r="F437" s="6">
        <f t="shared" si="23"/>
        <v>90</v>
      </c>
    </row>
    <row r="438" spans="3:6" x14ac:dyDescent="0.25">
      <c r="C438" s="6">
        <v>4790</v>
      </c>
      <c r="D438" s="6">
        <f t="shared" si="21"/>
        <v>88.703703703703709</v>
      </c>
      <c r="E438" s="6">
        <f t="shared" si="22"/>
        <v>89</v>
      </c>
      <c r="F438" s="6">
        <f t="shared" si="23"/>
        <v>90</v>
      </c>
    </row>
    <row r="439" spans="3:6" x14ac:dyDescent="0.25">
      <c r="C439" s="6">
        <v>4800</v>
      </c>
      <c r="D439" s="6">
        <f t="shared" si="21"/>
        <v>88.888888888888886</v>
      </c>
      <c r="E439" s="6">
        <f t="shared" si="22"/>
        <v>89</v>
      </c>
      <c r="F439" s="6">
        <f t="shared" si="23"/>
        <v>90</v>
      </c>
    </row>
    <row r="440" spans="3:6" x14ac:dyDescent="0.25">
      <c r="C440" s="6">
        <v>4810</v>
      </c>
      <c r="D440" s="6">
        <f t="shared" si="21"/>
        <v>89.074074074074076</v>
      </c>
      <c r="E440" s="6">
        <f t="shared" si="22"/>
        <v>89</v>
      </c>
      <c r="F440" s="6">
        <f t="shared" si="23"/>
        <v>90</v>
      </c>
    </row>
    <row r="441" spans="3:6" x14ac:dyDescent="0.25">
      <c r="C441" s="6">
        <v>4820</v>
      </c>
      <c r="D441" s="6">
        <f t="shared" si="21"/>
        <v>89.259259259259252</v>
      </c>
      <c r="E441" s="6">
        <f t="shared" si="22"/>
        <v>89</v>
      </c>
      <c r="F441" s="6">
        <f t="shared" si="23"/>
        <v>90</v>
      </c>
    </row>
    <row r="442" spans="3:6" x14ac:dyDescent="0.25">
      <c r="C442" s="6">
        <v>4830</v>
      </c>
      <c r="D442" s="6">
        <f t="shared" si="21"/>
        <v>89.444444444444443</v>
      </c>
      <c r="E442" s="6">
        <f t="shared" si="22"/>
        <v>89</v>
      </c>
      <c r="F442" s="6">
        <f t="shared" si="23"/>
        <v>90</v>
      </c>
    </row>
    <row r="443" spans="3:6" x14ac:dyDescent="0.25">
      <c r="C443" s="6">
        <v>4840</v>
      </c>
      <c r="D443" s="6">
        <f t="shared" si="21"/>
        <v>89.629629629629633</v>
      </c>
      <c r="E443" s="6">
        <f t="shared" si="22"/>
        <v>90</v>
      </c>
      <c r="F443" s="6">
        <f t="shared" si="23"/>
        <v>90</v>
      </c>
    </row>
    <row r="444" spans="3:6" x14ac:dyDescent="0.25">
      <c r="C444" s="6">
        <v>4850</v>
      </c>
      <c r="D444" s="6">
        <f t="shared" si="21"/>
        <v>89.81481481481481</v>
      </c>
      <c r="E444" s="6">
        <f t="shared" si="22"/>
        <v>90</v>
      </c>
      <c r="F444" s="6">
        <f t="shared" si="23"/>
        <v>90</v>
      </c>
    </row>
    <row r="445" spans="3:6" x14ac:dyDescent="0.25">
      <c r="C445" s="6">
        <v>4860</v>
      </c>
      <c r="D445" s="6">
        <f t="shared" si="21"/>
        <v>90</v>
      </c>
      <c r="E445" s="6">
        <f t="shared" si="22"/>
        <v>90</v>
      </c>
      <c r="F445" s="6">
        <f t="shared" si="23"/>
        <v>90</v>
      </c>
    </row>
    <row r="446" spans="3:6" x14ac:dyDescent="0.25">
      <c r="C446" s="6">
        <v>4870</v>
      </c>
      <c r="D446" s="6">
        <f t="shared" si="21"/>
        <v>90.18518518518519</v>
      </c>
      <c r="E446" s="6">
        <v>91</v>
      </c>
      <c r="F446" s="6">
        <f t="shared" si="23"/>
        <v>92</v>
      </c>
    </row>
    <row r="447" spans="3:6" x14ac:dyDescent="0.25">
      <c r="C447" s="6">
        <v>4880</v>
      </c>
      <c r="D447" s="6">
        <f t="shared" si="21"/>
        <v>90.370370370370367</v>
      </c>
      <c r="E447" s="6">
        <v>91</v>
      </c>
      <c r="F447" s="6">
        <f t="shared" si="23"/>
        <v>92</v>
      </c>
    </row>
    <row r="448" spans="3:6" x14ac:dyDescent="0.25">
      <c r="C448" s="6">
        <v>4890</v>
      </c>
      <c r="D448" s="6">
        <f t="shared" si="21"/>
        <v>90.555555555555557</v>
      </c>
      <c r="E448" s="6">
        <f t="shared" si="22"/>
        <v>91</v>
      </c>
      <c r="F448" s="6">
        <f t="shared" si="23"/>
        <v>92</v>
      </c>
    </row>
    <row r="449" spans="3:6" x14ac:dyDescent="0.25">
      <c r="C449" s="6">
        <v>4900</v>
      </c>
      <c r="D449" s="6">
        <f t="shared" si="21"/>
        <v>90.740740740740748</v>
      </c>
      <c r="E449" s="6">
        <f t="shared" si="22"/>
        <v>91</v>
      </c>
      <c r="F449" s="6">
        <f t="shared" si="23"/>
        <v>92</v>
      </c>
    </row>
    <row r="450" spans="3:6" x14ac:dyDescent="0.25">
      <c r="C450" s="6">
        <v>4910</v>
      </c>
      <c r="D450" s="6">
        <f t="shared" si="21"/>
        <v>90.925925925925924</v>
      </c>
      <c r="E450" s="6">
        <f t="shared" si="22"/>
        <v>91</v>
      </c>
      <c r="F450" s="6">
        <f t="shared" si="23"/>
        <v>92</v>
      </c>
    </row>
    <row r="451" spans="3:6" x14ac:dyDescent="0.25">
      <c r="C451" s="6">
        <v>4920</v>
      </c>
      <c r="D451" s="6">
        <f t="shared" si="21"/>
        <v>91.111111111111114</v>
      </c>
      <c r="E451" s="6">
        <f t="shared" si="22"/>
        <v>91</v>
      </c>
      <c r="F451" s="6">
        <f t="shared" si="23"/>
        <v>92</v>
      </c>
    </row>
    <row r="452" spans="3:6" x14ac:dyDescent="0.25">
      <c r="C452" s="6">
        <v>4930</v>
      </c>
      <c r="D452" s="6">
        <f t="shared" si="21"/>
        <v>91.296296296296291</v>
      </c>
      <c r="E452" s="6">
        <f t="shared" si="22"/>
        <v>91</v>
      </c>
      <c r="F452" s="6">
        <f t="shared" si="23"/>
        <v>92</v>
      </c>
    </row>
    <row r="453" spans="3:6" x14ac:dyDescent="0.25">
      <c r="C453" s="6">
        <v>4940</v>
      </c>
      <c r="D453" s="6">
        <f t="shared" si="21"/>
        <v>91.481481481481481</v>
      </c>
      <c r="E453" s="6">
        <f t="shared" si="22"/>
        <v>91</v>
      </c>
      <c r="F453" s="6">
        <f t="shared" si="23"/>
        <v>92</v>
      </c>
    </row>
    <row r="454" spans="3:6" x14ac:dyDescent="0.25">
      <c r="C454" s="6">
        <v>4950</v>
      </c>
      <c r="D454" s="6">
        <f t="shared" si="21"/>
        <v>91.666666666666671</v>
      </c>
      <c r="E454" s="6">
        <f t="shared" si="22"/>
        <v>92</v>
      </c>
      <c r="F454" s="6">
        <f t="shared" si="23"/>
        <v>92</v>
      </c>
    </row>
    <row r="455" spans="3:6" x14ac:dyDescent="0.25">
      <c r="C455" s="6">
        <v>4960</v>
      </c>
      <c r="D455" s="6">
        <f t="shared" si="21"/>
        <v>91.851851851851848</v>
      </c>
      <c r="E455" s="6">
        <f t="shared" si="22"/>
        <v>92</v>
      </c>
      <c r="F455" s="6">
        <f t="shared" si="23"/>
        <v>92</v>
      </c>
    </row>
    <row r="456" spans="3:6" x14ac:dyDescent="0.25">
      <c r="C456" s="6">
        <v>4970</v>
      </c>
      <c r="D456" s="6">
        <f t="shared" si="21"/>
        <v>92.037037037037038</v>
      </c>
      <c r="E456" s="6">
        <v>93</v>
      </c>
      <c r="F456" s="6">
        <f t="shared" si="23"/>
        <v>94</v>
      </c>
    </row>
    <row r="457" spans="3:6" x14ac:dyDescent="0.25">
      <c r="C457" s="6">
        <v>4980</v>
      </c>
      <c r="D457" s="6">
        <f t="shared" si="21"/>
        <v>92.222222222222229</v>
      </c>
      <c r="E457" s="6">
        <v>93</v>
      </c>
      <c r="F457" s="6">
        <f t="shared" si="23"/>
        <v>94</v>
      </c>
    </row>
    <row r="458" spans="3:6" x14ac:dyDescent="0.25">
      <c r="C458" s="6">
        <v>4990</v>
      </c>
      <c r="D458" s="6">
        <f t="shared" si="21"/>
        <v>92.407407407407405</v>
      </c>
      <c r="E458" s="6">
        <v>93</v>
      </c>
      <c r="F458" s="6">
        <f t="shared" si="23"/>
        <v>94</v>
      </c>
    </row>
    <row r="459" spans="3:6" x14ac:dyDescent="0.25">
      <c r="C459" s="6">
        <v>5000</v>
      </c>
      <c r="D459" s="6">
        <f t="shared" si="21"/>
        <v>92.592592592592595</v>
      </c>
      <c r="E459" s="6">
        <f t="shared" si="22"/>
        <v>93</v>
      </c>
      <c r="F459" s="6">
        <f t="shared" si="23"/>
        <v>94</v>
      </c>
    </row>
    <row r="460" spans="3:6" x14ac:dyDescent="0.25">
      <c r="C460" s="6">
        <v>5010</v>
      </c>
      <c r="D460" s="6">
        <f t="shared" si="21"/>
        <v>92.777777777777771</v>
      </c>
      <c r="E460" s="6">
        <f t="shared" si="22"/>
        <v>93</v>
      </c>
      <c r="F460" s="6">
        <f t="shared" si="23"/>
        <v>94</v>
      </c>
    </row>
    <row r="461" spans="3:6" x14ac:dyDescent="0.25">
      <c r="C461" s="6">
        <v>5020</v>
      </c>
      <c r="D461" s="6">
        <f t="shared" si="21"/>
        <v>92.962962962962962</v>
      </c>
      <c r="E461" s="6">
        <f t="shared" si="22"/>
        <v>93</v>
      </c>
      <c r="F461" s="6">
        <f t="shared" si="23"/>
        <v>94</v>
      </c>
    </row>
    <row r="462" spans="3:6" x14ac:dyDescent="0.25">
      <c r="C462" s="6">
        <v>5030</v>
      </c>
      <c r="D462" s="6">
        <f t="shared" si="21"/>
        <v>93.148148148148152</v>
      </c>
      <c r="E462" s="6">
        <f t="shared" si="22"/>
        <v>93</v>
      </c>
      <c r="F462" s="6">
        <f t="shared" si="23"/>
        <v>94</v>
      </c>
    </row>
    <row r="463" spans="3:6" x14ac:dyDescent="0.25">
      <c r="C463" s="6">
        <v>5040</v>
      </c>
      <c r="D463" s="6">
        <f t="shared" si="21"/>
        <v>93.333333333333329</v>
      </c>
      <c r="E463" s="6">
        <f t="shared" si="22"/>
        <v>93</v>
      </c>
      <c r="F463" s="6">
        <f t="shared" si="23"/>
        <v>94</v>
      </c>
    </row>
    <row r="464" spans="3:6" x14ac:dyDescent="0.25">
      <c r="C464" s="6">
        <v>5050</v>
      </c>
      <c r="D464" s="6">
        <f t="shared" si="21"/>
        <v>93.518518518518519</v>
      </c>
      <c r="E464" s="6">
        <f t="shared" si="22"/>
        <v>94</v>
      </c>
      <c r="F464" s="6">
        <f t="shared" si="23"/>
        <v>94</v>
      </c>
    </row>
    <row r="465" spans="3:6" x14ac:dyDescent="0.25">
      <c r="C465" s="6">
        <v>5060</v>
      </c>
      <c r="D465" s="6">
        <f t="shared" si="21"/>
        <v>93.703703703703709</v>
      </c>
      <c r="E465" s="6">
        <f t="shared" si="22"/>
        <v>94</v>
      </c>
      <c r="F465" s="6">
        <f t="shared" si="23"/>
        <v>94</v>
      </c>
    </row>
    <row r="466" spans="3:6" x14ac:dyDescent="0.25">
      <c r="C466" s="6">
        <v>5070</v>
      </c>
      <c r="D466" s="6">
        <f t="shared" si="21"/>
        <v>93.888888888888886</v>
      </c>
      <c r="E466" s="6">
        <f t="shared" si="22"/>
        <v>94</v>
      </c>
      <c r="F466" s="6">
        <f t="shared" si="23"/>
        <v>94</v>
      </c>
    </row>
    <row r="467" spans="3:6" x14ac:dyDescent="0.25">
      <c r="C467" s="6">
        <v>5080</v>
      </c>
      <c r="D467" s="6">
        <f t="shared" si="21"/>
        <v>94.074074074074076</v>
      </c>
      <c r="E467" s="6">
        <v>95</v>
      </c>
      <c r="F467" s="6">
        <f t="shared" si="23"/>
        <v>96</v>
      </c>
    </row>
    <row r="468" spans="3:6" x14ac:dyDescent="0.25">
      <c r="C468" s="6">
        <v>5090</v>
      </c>
      <c r="D468" s="6">
        <f t="shared" si="21"/>
        <v>94.259259259259252</v>
      </c>
      <c r="E468" s="6">
        <v>95</v>
      </c>
      <c r="F468" s="6">
        <f t="shared" si="23"/>
        <v>96</v>
      </c>
    </row>
    <row r="469" spans="3:6" x14ac:dyDescent="0.25">
      <c r="C469" s="6">
        <v>5100</v>
      </c>
      <c r="D469" s="6">
        <f t="shared" si="21"/>
        <v>94.444444444444443</v>
      </c>
      <c r="E469" s="6">
        <v>95</v>
      </c>
      <c r="F469" s="6">
        <f t="shared" si="23"/>
        <v>96</v>
      </c>
    </row>
    <row r="470" spans="3:6" x14ac:dyDescent="0.25">
      <c r="C470" s="6">
        <v>5110</v>
      </c>
      <c r="D470" s="6">
        <f t="shared" si="21"/>
        <v>94.629629629629633</v>
      </c>
      <c r="E470" s="6">
        <f t="shared" si="22"/>
        <v>95</v>
      </c>
      <c r="F470" s="6">
        <f t="shared" si="23"/>
        <v>96</v>
      </c>
    </row>
    <row r="471" spans="3:6" x14ac:dyDescent="0.25">
      <c r="C471" s="6">
        <v>5120</v>
      </c>
      <c r="D471" s="6">
        <f t="shared" si="21"/>
        <v>94.81481481481481</v>
      </c>
      <c r="E471" s="6">
        <f t="shared" si="22"/>
        <v>95</v>
      </c>
      <c r="F471" s="6">
        <f t="shared" si="23"/>
        <v>96</v>
      </c>
    </row>
    <row r="472" spans="3:6" x14ac:dyDescent="0.25">
      <c r="C472" s="6">
        <v>5130</v>
      </c>
      <c r="D472" s="6">
        <f t="shared" si="21"/>
        <v>95</v>
      </c>
      <c r="E472" s="6">
        <f t="shared" si="22"/>
        <v>95</v>
      </c>
      <c r="F472" s="6">
        <f t="shared" si="23"/>
        <v>96</v>
      </c>
    </row>
    <row r="473" spans="3:6" x14ac:dyDescent="0.25">
      <c r="C473" s="6">
        <v>5140</v>
      </c>
      <c r="D473" s="6">
        <f t="shared" si="21"/>
        <v>95.18518518518519</v>
      </c>
      <c r="E473" s="6">
        <f t="shared" si="22"/>
        <v>95</v>
      </c>
      <c r="F473" s="6">
        <f t="shared" si="23"/>
        <v>96</v>
      </c>
    </row>
    <row r="474" spans="3:6" x14ac:dyDescent="0.25">
      <c r="C474" s="6">
        <v>5150</v>
      </c>
      <c r="D474" s="6">
        <f t="shared" si="21"/>
        <v>95.370370370370367</v>
      </c>
      <c r="E474" s="6">
        <f t="shared" si="22"/>
        <v>95</v>
      </c>
      <c r="F474" s="6">
        <f t="shared" si="23"/>
        <v>96</v>
      </c>
    </row>
    <row r="475" spans="3:6" x14ac:dyDescent="0.25">
      <c r="C475" s="6">
        <v>5160</v>
      </c>
      <c r="D475" s="6">
        <f t="shared" si="21"/>
        <v>95.555555555555557</v>
      </c>
      <c r="E475" s="6">
        <f t="shared" si="22"/>
        <v>96</v>
      </c>
      <c r="F475" s="6">
        <f t="shared" si="23"/>
        <v>96</v>
      </c>
    </row>
    <row r="476" spans="3:6" x14ac:dyDescent="0.25">
      <c r="C476" s="6">
        <v>5170</v>
      </c>
      <c r="D476" s="6">
        <f t="shared" si="21"/>
        <v>95.740740740740748</v>
      </c>
      <c r="E476" s="6">
        <f t="shared" si="22"/>
        <v>96</v>
      </c>
      <c r="F476" s="6">
        <f t="shared" si="23"/>
        <v>96</v>
      </c>
    </row>
    <row r="477" spans="3:6" x14ac:dyDescent="0.25">
      <c r="C477" s="6">
        <v>5180</v>
      </c>
      <c r="D477" s="6">
        <f t="shared" si="21"/>
        <v>95.925925925925924</v>
      </c>
      <c r="E477" s="6">
        <f t="shared" si="22"/>
        <v>96</v>
      </c>
      <c r="F477" s="6">
        <f t="shared" si="23"/>
        <v>96</v>
      </c>
    </row>
    <row r="478" spans="3:6" x14ac:dyDescent="0.25">
      <c r="C478" s="6">
        <v>5190</v>
      </c>
      <c r="D478" s="6">
        <f t="shared" si="21"/>
        <v>96.111111111111114</v>
      </c>
      <c r="E478" s="6">
        <v>98</v>
      </c>
      <c r="F478" s="6">
        <f t="shared" si="23"/>
        <v>98</v>
      </c>
    </row>
    <row r="479" spans="3:6" x14ac:dyDescent="0.25">
      <c r="C479" s="6">
        <v>5200</v>
      </c>
      <c r="D479" s="6">
        <f t="shared" si="21"/>
        <v>96.296296296296291</v>
      </c>
      <c r="E479" s="6">
        <v>97</v>
      </c>
      <c r="F479" s="6">
        <f t="shared" si="23"/>
        <v>98</v>
      </c>
    </row>
    <row r="480" spans="3:6" x14ac:dyDescent="0.25">
      <c r="C480" s="6">
        <v>5210</v>
      </c>
      <c r="D480" s="6">
        <f t="shared" si="21"/>
        <v>96.481481481481481</v>
      </c>
      <c r="E480" s="6">
        <v>97</v>
      </c>
      <c r="F480" s="6">
        <f t="shared" si="23"/>
        <v>98</v>
      </c>
    </row>
    <row r="481" spans="3:6" x14ac:dyDescent="0.25">
      <c r="C481" s="6">
        <v>5220</v>
      </c>
      <c r="D481" s="6">
        <f t="shared" si="21"/>
        <v>96.666666666666671</v>
      </c>
      <c r="E481" s="6">
        <f t="shared" si="22"/>
        <v>97</v>
      </c>
      <c r="F481" s="6">
        <f t="shared" si="23"/>
        <v>98</v>
      </c>
    </row>
    <row r="482" spans="3:6" x14ac:dyDescent="0.25">
      <c r="C482" s="6">
        <v>5230</v>
      </c>
      <c r="D482" s="6">
        <f t="shared" si="21"/>
        <v>96.851851851851848</v>
      </c>
      <c r="E482" s="6">
        <f t="shared" si="22"/>
        <v>97</v>
      </c>
      <c r="F482" s="6">
        <f t="shared" si="23"/>
        <v>98</v>
      </c>
    </row>
    <row r="483" spans="3:6" x14ac:dyDescent="0.25">
      <c r="C483" s="6">
        <v>5240</v>
      </c>
      <c r="D483" s="6">
        <f t="shared" ref="D483:D539" si="24">$C483/54</f>
        <v>97.037037037037038</v>
      </c>
      <c r="E483" s="6">
        <f t="shared" ref="E483:E539" si="25">ROUND($C483/54,0)</f>
        <v>97</v>
      </c>
      <c r="F483" s="6">
        <f t="shared" ref="F483:F539" si="26">IF(ISEVEN(($E483)),$E483,EVEN($E483))</f>
        <v>98</v>
      </c>
    </row>
    <row r="484" spans="3:6" x14ac:dyDescent="0.25">
      <c r="C484" s="6">
        <v>5250</v>
      </c>
      <c r="D484" s="6">
        <f t="shared" si="24"/>
        <v>97.222222222222229</v>
      </c>
      <c r="E484" s="6">
        <f t="shared" si="25"/>
        <v>97</v>
      </c>
      <c r="F484" s="6">
        <f t="shared" si="26"/>
        <v>98</v>
      </c>
    </row>
    <row r="485" spans="3:6" x14ac:dyDescent="0.25">
      <c r="C485" s="6">
        <v>5260</v>
      </c>
      <c r="D485" s="6">
        <f t="shared" si="24"/>
        <v>97.407407407407405</v>
      </c>
      <c r="E485" s="6">
        <f t="shared" si="25"/>
        <v>97</v>
      </c>
      <c r="F485" s="6">
        <f t="shared" si="26"/>
        <v>98</v>
      </c>
    </row>
    <row r="486" spans="3:6" x14ac:dyDescent="0.25">
      <c r="C486" s="6">
        <v>5270</v>
      </c>
      <c r="D486" s="6">
        <f t="shared" si="24"/>
        <v>97.592592592592595</v>
      </c>
      <c r="E486" s="6">
        <f t="shared" si="25"/>
        <v>98</v>
      </c>
      <c r="F486" s="6">
        <f t="shared" si="26"/>
        <v>98</v>
      </c>
    </row>
    <row r="487" spans="3:6" x14ac:dyDescent="0.25">
      <c r="C487" s="6">
        <v>5280</v>
      </c>
      <c r="D487" s="6">
        <f t="shared" si="24"/>
        <v>97.777777777777771</v>
      </c>
      <c r="E487" s="6">
        <f t="shared" si="25"/>
        <v>98</v>
      </c>
      <c r="F487" s="6">
        <f t="shared" si="26"/>
        <v>98</v>
      </c>
    </row>
    <row r="488" spans="3:6" x14ac:dyDescent="0.25">
      <c r="C488" s="6">
        <v>5290</v>
      </c>
      <c r="D488" s="6">
        <f t="shared" si="24"/>
        <v>97.962962962962962</v>
      </c>
      <c r="E488" s="6">
        <f t="shared" si="25"/>
        <v>98</v>
      </c>
      <c r="F488" s="6">
        <f t="shared" si="26"/>
        <v>98</v>
      </c>
    </row>
    <row r="489" spans="3:6" x14ac:dyDescent="0.25">
      <c r="C489" s="6">
        <v>5300</v>
      </c>
      <c r="D489" s="6">
        <f t="shared" si="24"/>
        <v>98.148148148148152</v>
      </c>
      <c r="E489" s="6">
        <v>99</v>
      </c>
      <c r="F489" s="6">
        <f t="shared" si="26"/>
        <v>100</v>
      </c>
    </row>
    <row r="490" spans="3:6" x14ac:dyDescent="0.25">
      <c r="C490" s="6">
        <v>5310</v>
      </c>
      <c r="D490" s="6">
        <f t="shared" si="24"/>
        <v>98.333333333333329</v>
      </c>
      <c r="E490" s="6">
        <v>99</v>
      </c>
      <c r="F490" s="6">
        <f t="shared" si="26"/>
        <v>100</v>
      </c>
    </row>
    <row r="491" spans="3:6" x14ac:dyDescent="0.25">
      <c r="C491" s="6">
        <v>5320</v>
      </c>
      <c r="D491" s="6">
        <f t="shared" si="24"/>
        <v>98.518518518518519</v>
      </c>
      <c r="E491" s="6">
        <f t="shared" si="25"/>
        <v>99</v>
      </c>
      <c r="F491" s="6">
        <f t="shared" si="26"/>
        <v>100</v>
      </c>
    </row>
    <row r="492" spans="3:6" x14ac:dyDescent="0.25">
      <c r="C492" s="6">
        <v>5330</v>
      </c>
      <c r="D492" s="6">
        <f t="shared" si="24"/>
        <v>98.703703703703709</v>
      </c>
      <c r="E492" s="6">
        <f t="shared" si="25"/>
        <v>99</v>
      </c>
      <c r="F492" s="6">
        <f t="shared" si="26"/>
        <v>100</v>
      </c>
    </row>
    <row r="493" spans="3:6" x14ac:dyDescent="0.25">
      <c r="C493" s="6">
        <v>5340</v>
      </c>
      <c r="D493" s="6">
        <f t="shared" si="24"/>
        <v>98.888888888888886</v>
      </c>
      <c r="E493" s="6">
        <f t="shared" si="25"/>
        <v>99</v>
      </c>
      <c r="F493" s="6">
        <f t="shared" si="26"/>
        <v>100</v>
      </c>
    </row>
    <row r="494" spans="3:6" x14ac:dyDescent="0.25">
      <c r="C494" s="6">
        <v>5350</v>
      </c>
      <c r="D494" s="6">
        <f t="shared" si="24"/>
        <v>99.074074074074076</v>
      </c>
      <c r="E494" s="6">
        <f t="shared" si="25"/>
        <v>99</v>
      </c>
      <c r="F494" s="6">
        <f t="shared" si="26"/>
        <v>100</v>
      </c>
    </row>
    <row r="495" spans="3:6" x14ac:dyDescent="0.25">
      <c r="C495" s="6">
        <v>5360</v>
      </c>
      <c r="D495" s="6">
        <f t="shared" si="24"/>
        <v>99.259259259259252</v>
      </c>
      <c r="E495" s="6">
        <f t="shared" si="25"/>
        <v>99</v>
      </c>
      <c r="F495" s="6">
        <f t="shared" si="26"/>
        <v>100</v>
      </c>
    </row>
    <row r="496" spans="3:6" x14ac:dyDescent="0.25">
      <c r="C496" s="6">
        <v>5370</v>
      </c>
      <c r="D496" s="6">
        <f t="shared" si="24"/>
        <v>99.444444444444443</v>
      </c>
      <c r="E496" s="6">
        <f t="shared" si="25"/>
        <v>99</v>
      </c>
      <c r="F496" s="6">
        <f t="shared" si="26"/>
        <v>100</v>
      </c>
    </row>
    <row r="497" spans="3:6" x14ac:dyDescent="0.25">
      <c r="C497" s="6">
        <v>5380</v>
      </c>
      <c r="D497" s="6">
        <f t="shared" si="24"/>
        <v>99.629629629629633</v>
      </c>
      <c r="E497" s="6">
        <f t="shared" si="25"/>
        <v>100</v>
      </c>
      <c r="F497" s="6">
        <f t="shared" si="26"/>
        <v>100</v>
      </c>
    </row>
    <row r="498" spans="3:6" x14ac:dyDescent="0.25">
      <c r="C498" s="6">
        <v>5390</v>
      </c>
      <c r="D498" s="6">
        <f t="shared" si="24"/>
        <v>99.81481481481481</v>
      </c>
      <c r="E498" s="6">
        <f t="shared" si="25"/>
        <v>100</v>
      </c>
      <c r="F498" s="6">
        <f t="shared" si="26"/>
        <v>100</v>
      </c>
    </row>
    <row r="499" spans="3:6" x14ac:dyDescent="0.25">
      <c r="C499" s="6">
        <v>5400</v>
      </c>
      <c r="D499" s="6">
        <f t="shared" si="24"/>
        <v>100</v>
      </c>
      <c r="E499" s="6">
        <f t="shared" si="25"/>
        <v>100</v>
      </c>
      <c r="F499" s="6">
        <f t="shared" si="26"/>
        <v>100</v>
      </c>
    </row>
    <row r="500" spans="3:6" x14ac:dyDescent="0.25">
      <c r="C500" s="6">
        <v>5410</v>
      </c>
      <c r="D500" s="6">
        <f t="shared" si="24"/>
        <v>100.18518518518519</v>
      </c>
      <c r="E500" s="6">
        <v>101</v>
      </c>
      <c r="F500" s="6">
        <f t="shared" si="26"/>
        <v>102</v>
      </c>
    </row>
    <row r="501" spans="3:6" x14ac:dyDescent="0.25">
      <c r="C501" s="6">
        <v>5420</v>
      </c>
      <c r="D501" s="6">
        <f t="shared" si="24"/>
        <v>100.37037037037037</v>
      </c>
      <c r="E501" s="6">
        <v>101</v>
      </c>
      <c r="F501" s="6">
        <f t="shared" si="26"/>
        <v>102</v>
      </c>
    </row>
    <row r="502" spans="3:6" x14ac:dyDescent="0.25">
      <c r="C502" s="6">
        <v>5430</v>
      </c>
      <c r="D502" s="6">
        <f t="shared" si="24"/>
        <v>100.55555555555556</v>
      </c>
      <c r="E502" s="6">
        <f t="shared" si="25"/>
        <v>101</v>
      </c>
      <c r="F502" s="6">
        <f t="shared" si="26"/>
        <v>102</v>
      </c>
    </row>
    <row r="503" spans="3:6" x14ac:dyDescent="0.25">
      <c r="C503" s="6">
        <v>5440</v>
      </c>
      <c r="D503" s="6">
        <f t="shared" si="24"/>
        <v>100.74074074074075</v>
      </c>
      <c r="E503" s="6">
        <f t="shared" si="25"/>
        <v>101</v>
      </c>
      <c r="F503" s="6">
        <f t="shared" si="26"/>
        <v>102</v>
      </c>
    </row>
    <row r="504" spans="3:6" x14ac:dyDescent="0.25">
      <c r="C504" s="6">
        <v>5450</v>
      </c>
      <c r="D504" s="6">
        <f t="shared" si="24"/>
        <v>100.92592592592592</v>
      </c>
      <c r="E504" s="6">
        <f t="shared" si="25"/>
        <v>101</v>
      </c>
      <c r="F504" s="6">
        <f t="shared" si="26"/>
        <v>102</v>
      </c>
    </row>
    <row r="505" spans="3:6" x14ac:dyDescent="0.25">
      <c r="C505" s="6">
        <v>5460</v>
      </c>
      <c r="D505" s="6">
        <f t="shared" si="24"/>
        <v>101.11111111111111</v>
      </c>
      <c r="E505" s="6">
        <f t="shared" si="25"/>
        <v>101</v>
      </c>
      <c r="F505" s="6">
        <f t="shared" si="26"/>
        <v>102</v>
      </c>
    </row>
    <row r="506" spans="3:6" x14ac:dyDescent="0.25">
      <c r="C506" s="6">
        <v>5470</v>
      </c>
      <c r="D506" s="6">
        <f t="shared" si="24"/>
        <v>101.29629629629629</v>
      </c>
      <c r="E506" s="6">
        <f t="shared" si="25"/>
        <v>101</v>
      </c>
      <c r="F506" s="6">
        <f t="shared" si="26"/>
        <v>102</v>
      </c>
    </row>
    <row r="507" spans="3:6" x14ac:dyDescent="0.25">
      <c r="C507" s="6">
        <v>5480</v>
      </c>
      <c r="D507" s="6">
        <f t="shared" si="24"/>
        <v>101.48148148148148</v>
      </c>
      <c r="E507" s="6">
        <f t="shared" si="25"/>
        <v>101</v>
      </c>
      <c r="F507" s="6">
        <f t="shared" si="26"/>
        <v>102</v>
      </c>
    </row>
    <row r="508" spans="3:6" x14ac:dyDescent="0.25">
      <c r="C508" s="6">
        <v>5490</v>
      </c>
      <c r="D508" s="6">
        <f t="shared" si="24"/>
        <v>101.66666666666667</v>
      </c>
      <c r="E508" s="6">
        <f t="shared" si="25"/>
        <v>102</v>
      </c>
      <c r="F508" s="6">
        <f t="shared" si="26"/>
        <v>102</v>
      </c>
    </row>
    <row r="509" spans="3:6" x14ac:dyDescent="0.25">
      <c r="C509" s="6">
        <v>5500</v>
      </c>
      <c r="D509" s="6">
        <f t="shared" si="24"/>
        <v>101.85185185185185</v>
      </c>
      <c r="E509" s="6">
        <f t="shared" si="25"/>
        <v>102</v>
      </c>
      <c r="F509" s="6">
        <f t="shared" si="26"/>
        <v>102</v>
      </c>
    </row>
    <row r="510" spans="3:6" x14ac:dyDescent="0.25">
      <c r="C510" s="6">
        <v>5510</v>
      </c>
      <c r="D510" s="6">
        <f t="shared" si="24"/>
        <v>102.03703703703704</v>
      </c>
      <c r="E510" s="6">
        <v>103</v>
      </c>
      <c r="F510" s="6">
        <f t="shared" si="26"/>
        <v>104</v>
      </c>
    </row>
    <row r="511" spans="3:6" x14ac:dyDescent="0.25">
      <c r="C511" s="6">
        <v>5520</v>
      </c>
      <c r="D511" s="6">
        <f t="shared" si="24"/>
        <v>102.22222222222223</v>
      </c>
      <c r="E511" s="6">
        <v>103</v>
      </c>
      <c r="F511" s="6">
        <f t="shared" si="26"/>
        <v>104</v>
      </c>
    </row>
    <row r="512" spans="3:6" x14ac:dyDescent="0.25">
      <c r="C512" s="6">
        <v>5530</v>
      </c>
      <c r="D512" s="6">
        <f t="shared" si="24"/>
        <v>102.4074074074074</v>
      </c>
      <c r="E512" s="6">
        <v>103</v>
      </c>
      <c r="F512" s="6">
        <f t="shared" si="26"/>
        <v>104</v>
      </c>
    </row>
    <row r="513" spans="3:6" x14ac:dyDescent="0.25">
      <c r="C513" s="6">
        <v>5540</v>
      </c>
      <c r="D513" s="6">
        <f t="shared" si="24"/>
        <v>102.5925925925926</v>
      </c>
      <c r="E513" s="6">
        <f t="shared" si="25"/>
        <v>103</v>
      </c>
      <c r="F513" s="6">
        <f t="shared" si="26"/>
        <v>104</v>
      </c>
    </row>
    <row r="514" spans="3:6" x14ac:dyDescent="0.25">
      <c r="C514" s="6">
        <v>5550</v>
      </c>
      <c r="D514" s="6">
        <f t="shared" si="24"/>
        <v>102.77777777777777</v>
      </c>
      <c r="E514" s="6">
        <f t="shared" si="25"/>
        <v>103</v>
      </c>
      <c r="F514" s="6">
        <f t="shared" si="26"/>
        <v>104</v>
      </c>
    </row>
    <row r="515" spans="3:6" x14ac:dyDescent="0.25">
      <c r="C515" s="6">
        <v>5560</v>
      </c>
      <c r="D515" s="6">
        <f t="shared" si="24"/>
        <v>102.96296296296296</v>
      </c>
      <c r="E515" s="6">
        <f t="shared" si="25"/>
        <v>103</v>
      </c>
      <c r="F515" s="6">
        <f t="shared" si="26"/>
        <v>104</v>
      </c>
    </row>
    <row r="516" spans="3:6" x14ac:dyDescent="0.25">
      <c r="C516" s="6">
        <v>5570</v>
      </c>
      <c r="D516" s="6">
        <f t="shared" si="24"/>
        <v>103.14814814814815</v>
      </c>
      <c r="E516" s="6">
        <f t="shared" si="25"/>
        <v>103</v>
      </c>
      <c r="F516" s="6">
        <f t="shared" si="26"/>
        <v>104</v>
      </c>
    </row>
    <row r="517" spans="3:6" x14ac:dyDescent="0.25">
      <c r="C517" s="6">
        <v>5580</v>
      </c>
      <c r="D517" s="6">
        <f t="shared" si="24"/>
        <v>103.33333333333333</v>
      </c>
      <c r="E517" s="6">
        <f t="shared" si="25"/>
        <v>103</v>
      </c>
      <c r="F517" s="6">
        <f t="shared" si="26"/>
        <v>104</v>
      </c>
    </row>
    <row r="518" spans="3:6" x14ac:dyDescent="0.25">
      <c r="C518" s="6">
        <v>5590</v>
      </c>
      <c r="D518" s="6">
        <f t="shared" si="24"/>
        <v>103.51851851851852</v>
      </c>
      <c r="E518" s="6">
        <f t="shared" si="25"/>
        <v>104</v>
      </c>
      <c r="F518" s="6">
        <f t="shared" si="26"/>
        <v>104</v>
      </c>
    </row>
    <row r="519" spans="3:6" x14ac:dyDescent="0.25">
      <c r="C519" s="6">
        <v>5600</v>
      </c>
      <c r="D519" s="6">
        <f t="shared" si="24"/>
        <v>103.70370370370371</v>
      </c>
      <c r="E519" s="6">
        <f t="shared" si="25"/>
        <v>104</v>
      </c>
      <c r="F519" s="6">
        <f t="shared" si="26"/>
        <v>104</v>
      </c>
    </row>
    <row r="520" spans="3:6" x14ac:dyDescent="0.25">
      <c r="C520" s="6">
        <v>5610</v>
      </c>
      <c r="D520" s="6">
        <f t="shared" si="24"/>
        <v>103.88888888888889</v>
      </c>
      <c r="E520" s="6">
        <f t="shared" si="25"/>
        <v>104</v>
      </c>
      <c r="F520" s="6">
        <f t="shared" si="26"/>
        <v>104</v>
      </c>
    </row>
    <row r="521" spans="3:6" x14ac:dyDescent="0.25">
      <c r="C521" s="6">
        <v>5620</v>
      </c>
      <c r="D521" s="6">
        <f t="shared" si="24"/>
        <v>104.07407407407408</v>
      </c>
      <c r="E521" s="6">
        <v>105</v>
      </c>
      <c r="F521" s="6">
        <f t="shared" si="26"/>
        <v>106</v>
      </c>
    </row>
    <row r="522" spans="3:6" x14ac:dyDescent="0.25">
      <c r="C522" s="6">
        <v>5630</v>
      </c>
      <c r="D522" s="6">
        <f t="shared" si="24"/>
        <v>104.25925925925925</v>
      </c>
      <c r="E522" s="6">
        <v>105</v>
      </c>
      <c r="F522" s="6">
        <f t="shared" si="26"/>
        <v>106</v>
      </c>
    </row>
    <row r="523" spans="3:6" x14ac:dyDescent="0.25">
      <c r="C523" s="6">
        <v>5640</v>
      </c>
      <c r="D523" s="6">
        <f t="shared" si="24"/>
        <v>104.44444444444444</v>
      </c>
      <c r="E523" s="6">
        <v>105</v>
      </c>
      <c r="F523" s="6">
        <f t="shared" si="26"/>
        <v>106</v>
      </c>
    </row>
    <row r="524" spans="3:6" x14ac:dyDescent="0.25">
      <c r="C524" s="6">
        <v>5650</v>
      </c>
      <c r="D524" s="6">
        <f t="shared" si="24"/>
        <v>104.62962962962963</v>
      </c>
      <c r="E524" s="6">
        <f t="shared" si="25"/>
        <v>105</v>
      </c>
      <c r="F524" s="6">
        <f t="shared" si="26"/>
        <v>106</v>
      </c>
    </row>
    <row r="525" spans="3:6" x14ac:dyDescent="0.25">
      <c r="C525" s="6">
        <v>5660</v>
      </c>
      <c r="D525" s="6">
        <f t="shared" si="24"/>
        <v>104.81481481481481</v>
      </c>
      <c r="E525" s="6">
        <f t="shared" si="25"/>
        <v>105</v>
      </c>
      <c r="F525" s="6">
        <f t="shared" si="26"/>
        <v>106</v>
      </c>
    </row>
    <row r="526" spans="3:6" x14ac:dyDescent="0.25">
      <c r="C526" s="6">
        <v>5670</v>
      </c>
      <c r="D526" s="6">
        <f t="shared" si="24"/>
        <v>105</v>
      </c>
      <c r="E526" s="6">
        <f t="shared" si="25"/>
        <v>105</v>
      </c>
      <c r="F526" s="6">
        <f t="shared" si="26"/>
        <v>106</v>
      </c>
    </row>
    <row r="527" spans="3:6" x14ac:dyDescent="0.25">
      <c r="C527" s="6">
        <v>5680</v>
      </c>
      <c r="D527" s="6">
        <f t="shared" si="24"/>
        <v>105.18518518518519</v>
      </c>
      <c r="E527" s="6">
        <f t="shared" si="25"/>
        <v>105</v>
      </c>
      <c r="F527" s="6">
        <f t="shared" si="26"/>
        <v>106</v>
      </c>
    </row>
    <row r="528" spans="3:6" x14ac:dyDescent="0.25">
      <c r="C528" s="6">
        <v>5690</v>
      </c>
      <c r="D528" s="6">
        <f t="shared" si="24"/>
        <v>105.37037037037037</v>
      </c>
      <c r="E528" s="6">
        <f t="shared" si="25"/>
        <v>105</v>
      </c>
      <c r="F528" s="6">
        <f t="shared" si="26"/>
        <v>106</v>
      </c>
    </row>
    <row r="529" spans="3:6" x14ac:dyDescent="0.25">
      <c r="C529" s="6">
        <v>5700</v>
      </c>
      <c r="D529" s="6">
        <f t="shared" si="24"/>
        <v>105.55555555555556</v>
      </c>
      <c r="E529" s="6">
        <f t="shared" si="25"/>
        <v>106</v>
      </c>
      <c r="F529" s="6">
        <f t="shared" si="26"/>
        <v>106</v>
      </c>
    </row>
    <row r="530" spans="3:6" x14ac:dyDescent="0.25">
      <c r="C530" s="6">
        <v>5710</v>
      </c>
      <c r="D530" s="6">
        <f t="shared" si="24"/>
        <v>105.74074074074075</v>
      </c>
      <c r="E530" s="6">
        <f t="shared" si="25"/>
        <v>106</v>
      </c>
      <c r="F530" s="6">
        <f t="shared" si="26"/>
        <v>106</v>
      </c>
    </row>
    <row r="531" spans="3:6" x14ac:dyDescent="0.25">
      <c r="C531" s="6">
        <v>5720</v>
      </c>
      <c r="D531" s="6">
        <f t="shared" si="24"/>
        <v>105.92592592592592</v>
      </c>
      <c r="E531" s="6">
        <f t="shared" si="25"/>
        <v>106</v>
      </c>
      <c r="F531" s="6">
        <f t="shared" si="26"/>
        <v>106</v>
      </c>
    </row>
    <row r="532" spans="3:6" x14ac:dyDescent="0.25">
      <c r="C532" s="6">
        <v>5730</v>
      </c>
      <c r="D532" s="6">
        <f t="shared" si="24"/>
        <v>106.11111111111111</v>
      </c>
      <c r="E532" s="6">
        <v>107</v>
      </c>
      <c r="F532" s="6">
        <f t="shared" si="26"/>
        <v>108</v>
      </c>
    </row>
    <row r="533" spans="3:6" x14ac:dyDescent="0.25">
      <c r="C533" s="6">
        <v>5740</v>
      </c>
      <c r="D533" s="6">
        <f t="shared" si="24"/>
        <v>106.29629629629629</v>
      </c>
      <c r="E533" s="6">
        <v>107</v>
      </c>
      <c r="F533" s="6">
        <f t="shared" si="26"/>
        <v>108</v>
      </c>
    </row>
    <row r="534" spans="3:6" x14ac:dyDescent="0.25">
      <c r="C534" s="6">
        <v>5750</v>
      </c>
      <c r="D534" s="6">
        <f t="shared" si="24"/>
        <v>106.48148148148148</v>
      </c>
      <c r="E534" s="6">
        <v>207</v>
      </c>
      <c r="F534" s="6">
        <f t="shared" si="26"/>
        <v>208</v>
      </c>
    </row>
    <row r="535" spans="3:6" x14ac:dyDescent="0.25">
      <c r="C535" s="6">
        <v>5760</v>
      </c>
      <c r="D535" s="6">
        <f t="shared" si="24"/>
        <v>106.66666666666667</v>
      </c>
      <c r="E535" s="6">
        <f t="shared" si="25"/>
        <v>107</v>
      </c>
      <c r="F535" s="6">
        <f t="shared" si="26"/>
        <v>108</v>
      </c>
    </row>
    <row r="536" spans="3:6" x14ac:dyDescent="0.25">
      <c r="C536" s="6">
        <v>5770</v>
      </c>
      <c r="D536" s="6">
        <f t="shared" si="24"/>
        <v>106.85185185185185</v>
      </c>
      <c r="E536" s="6">
        <f t="shared" si="25"/>
        <v>107</v>
      </c>
      <c r="F536" s="6">
        <f t="shared" si="26"/>
        <v>108</v>
      </c>
    </row>
    <row r="537" spans="3:6" x14ac:dyDescent="0.25">
      <c r="C537" s="6">
        <v>5780</v>
      </c>
      <c r="D537" s="6">
        <f t="shared" si="24"/>
        <v>107.03703703703704</v>
      </c>
      <c r="E537" s="6">
        <f t="shared" si="25"/>
        <v>107</v>
      </c>
      <c r="F537" s="6">
        <f t="shared" si="26"/>
        <v>108</v>
      </c>
    </row>
    <row r="538" spans="3:6" x14ac:dyDescent="0.25">
      <c r="C538" s="6">
        <v>5790</v>
      </c>
      <c r="D538" s="6">
        <f t="shared" si="24"/>
        <v>107.22222222222223</v>
      </c>
      <c r="E538" s="6">
        <f t="shared" si="25"/>
        <v>107</v>
      </c>
      <c r="F538" s="6">
        <f t="shared" si="26"/>
        <v>108</v>
      </c>
    </row>
    <row r="539" spans="3:6" x14ac:dyDescent="0.25">
      <c r="C539" s="6">
        <v>5800</v>
      </c>
      <c r="D539" s="6">
        <f t="shared" si="24"/>
        <v>107.4074074074074</v>
      </c>
      <c r="E539" s="6">
        <f t="shared" si="25"/>
        <v>107</v>
      </c>
      <c r="F539" s="6">
        <f t="shared" si="26"/>
        <v>108</v>
      </c>
    </row>
  </sheetData>
  <sheetProtection algorithmName="SHA-512" hashValue="xL5QxXyAryHAf5gZcafi/EuVn3Qmcfi/ZMOitxPfqfj+VwiGPidtw94PzUelzSwaWL2jPaFR6t3ebP+G1AXyug==" saltValue="4At/5YKhlS6Gm89UUbB/Q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E4F4-9DA9-49CB-B223-5665156B74B8}">
  <sheetPr codeName="Sheet4">
    <pageSetUpPr fitToPage="1"/>
  </sheetPr>
  <dimension ref="A1:J30"/>
  <sheetViews>
    <sheetView zoomScale="55" zoomScaleNormal="55" workbookViewId="0">
      <selection activeCell="F2" sqref="F2:H2"/>
    </sheetView>
  </sheetViews>
  <sheetFormatPr defaultColWidth="8.7109375" defaultRowHeight="21" x14ac:dyDescent="0.35"/>
  <cols>
    <col min="1" max="1" width="7.140625" style="34" customWidth="1"/>
    <col min="2" max="2" width="25.140625" style="34" customWidth="1"/>
    <col min="3" max="4" width="20.7109375" style="34" customWidth="1"/>
    <col min="5" max="5" width="37" style="34" customWidth="1"/>
    <col min="6" max="6" width="24.42578125" style="34" customWidth="1"/>
    <col min="7" max="7" width="29" style="34" customWidth="1"/>
    <col min="8" max="9" width="24.42578125" style="34" customWidth="1"/>
    <col min="10" max="10" width="15.28515625" style="34" customWidth="1"/>
    <col min="11" max="11" width="14.42578125" style="34" customWidth="1"/>
    <col min="12" max="12" width="15" style="34" customWidth="1"/>
    <col min="13" max="13" width="21.7109375" style="34" customWidth="1"/>
    <col min="14" max="14" width="15.28515625" style="34" customWidth="1"/>
    <col min="15" max="15" width="20.140625" style="34" customWidth="1"/>
    <col min="16" max="16384" width="8.7109375" style="34"/>
  </cols>
  <sheetData>
    <row r="1" spans="1:10" ht="19.899999999999999" customHeight="1" x14ac:dyDescent="0.35">
      <c r="F1" s="69" t="s">
        <v>18</v>
      </c>
      <c r="G1" s="70"/>
      <c r="H1" s="35" t="str">
        <f>'Order Form'!L11</f>
        <v>White</v>
      </c>
      <c r="I1" s="57"/>
    </row>
    <row r="2" spans="1:10" ht="19.899999999999999" customHeight="1" x14ac:dyDescent="0.35">
      <c r="F2" s="67" t="s">
        <v>38</v>
      </c>
      <c r="G2" s="68"/>
      <c r="H2" s="36">
        <f>ABS(Table3[[#Totals],[wand]])</f>
        <v>11</v>
      </c>
    </row>
    <row r="3" spans="1:10" ht="19.899999999999999" customHeight="1" thickBot="1" x14ac:dyDescent="0.4">
      <c r="B3" s="37"/>
      <c r="C3" s="37"/>
      <c r="D3" s="37"/>
      <c r="E3" s="37"/>
      <c r="F3" s="67" t="s">
        <v>14</v>
      </c>
      <c r="G3" s="68"/>
      <c r="H3" s="36" t="str">
        <f>'Order Form'!H11</f>
        <v>Bali</v>
      </c>
    </row>
    <row r="4" spans="1:10" ht="19.899999999999999" customHeight="1" x14ac:dyDescent="0.35">
      <c r="B4" s="38" t="s">
        <v>0</v>
      </c>
      <c r="C4" s="74">
        <f>'Order Form'!C2</f>
        <v>0</v>
      </c>
      <c r="D4" s="75"/>
      <c r="F4" s="67" t="s">
        <v>15</v>
      </c>
      <c r="G4" s="68"/>
      <c r="H4" s="36" t="str">
        <f>'Order Form'!I11</f>
        <v>Pearl</v>
      </c>
    </row>
    <row r="5" spans="1:10" ht="19.899999999999999" customHeight="1" thickBot="1" x14ac:dyDescent="0.4">
      <c r="B5" s="39" t="s">
        <v>41</v>
      </c>
      <c r="C5" s="76" t="str" cm="1">
        <f t="array" aca="1" ref="C5" ca="1">MID(CELL("filename"),FIND("[",CELL("filename")),15)</f>
        <v>[SHEER 2026.xls</v>
      </c>
      <c r="D5" s="77"/>
      <c r="E5" s="37"/>
      <c r="F5" s="67" t="s">
        <v>43</v>
      </c>
      <c r="G5" s="68"/>
      <c r="H5" s="36">
        <f>SUM(FInal[[Single hooks]:[Right Side Hooks]])</f>
        <v>458</v>
      </c>
    </row>
    <row r="6" spans="1:10" ht="19.899999999999999" customHeight="1" x14ac:dyDescent="0.35">
      <c r="F6" s="73" t="s">
        <v>39</v>
      </c>
      <c r="G6" s="55" t="s">
        <v>45</v>
      </c>
      <c r="H6" s="36">
        <f>SUM(Table3[[#Totals],[Standard]])</f>
        <v>36</v>
      </c>
    </row>
    <row r="7" spans="1:10" ht="19.899999999999999" customHeight="1" x14ac:dyDescent="0.35">
      <c r="F7" s="73"/>
      <c r="G7" s="55" t="s">
        <v>46</v>
      </c>
      <c r="H7" s="36">
        <f>SUM(Table3[[#Totals],[Extended]])</f>
        <v>0</v>
      </c>
    </row>
    <row r="8" spans="1:10" ht="26.65" customHeight="1" thickBot="1" x14ac:dyDescent="0.4">
      <c r="F8" s="71" t="s">
        <v>40</v>
      </c>
      <c r="G8" s="72"/>
      <c r="H8" s="40">
        <f>ABS(Table3[[#Totals],[Fabric]])</f>
        <v>56500</v>
      </c>
    </row>
    <row r="9" spans="1:10" ht="21" customHeight="1" x14ac:dyDescent="0.35"/>
    <row r="10" spans="1:10" s="49" customFormat="1" ht="42.4" customHeight="1" x14ac:dyDescent="0.35">
      <c r="A10" s="51" t="s">
        <v>7</v>
      </c>
      <c r="B10" s="52" t="s">
        <v>8</v>
      </c>
      <c r="C10" s="53" t="s">
        <v>9</v>
      </c>
      <c r="D10" s="52" t="s">
        <v>44</v>
      </c>
      <c r="E10" s="53" t="s">
        <v>19</v>
      </c>
      <c r="F10" s="54" t="s">
        <v>54</v>
      </c>
      <c r="G10" s="54" t="s">
        <v>53</v>
      </c>
      <c r="H10" s="54" t="s">
        <v>52</v>
      </c>
      <c r="I10" s="54" t="s">
        <v>63</v>
      </c>
      <c r="J10" s="54" t="s">
        <v>14</v>
      </c>
    </row>
    <row r="11" spans="1:10" x14ac:dyDescent="0.35">
      <c r="A11" s="41">
        <v>1</v>
      </c>
      <c r="B11" s="42" t="str">
        <f>IF(ISBLANK('Order Form'!$B11),"",'Order Form'!$B11)</f>
        <v xml:space="preserve">B1    </v>
      </c>
      <c r="C11" s="42">
        <f>IF(ISBLANK('Order Form'!$C11),"",'Order Form'!$C11)</f>
        <v>3060</v>
      </c>
      <c r="D11" s="43">
        <f>IF(ISBLANK('Order Form'!$E11),"",'Order Form'!$E11)</f>
        <v>2303</v>
      </c>
      <c r="E11" s="44" t="str">
        <f>IF(ISBLANK('Order Form'!M11),"",'Order Form'!M11)</f>
        <v>Centre Open</v>
      </c>
      <c r="F11" s="42" t="str">
        <f>IF(ISBLANK('Indetail CAL'!$G3),"",'Indetail CAL'!$G3)</f>
        <v/>
      </c>
      <c r="G11" s="42">
        <f>IF(ISBLANK('Indetail CAL'!$H3),"",'Indetail CAL'!$H3)</f>
        <v>30</v>
      </c>
      <c r="H11" s="45">
        <f>IF('Indetail CAL'!$I3=0,"",('Indetail CAL'!$I3))</f>
        <v>30</v>
      </c>
      <c r="I11" s="45" t="str">
        <f>IF(ISBLANK('Order Form'!$O11),"",'Order Form'!$O11)</f>
        <v>120 Fullness</v>
      </c>
      <c r="J11" s="42">
        <f>IF(ISBLANK('Indetail CAL'!K3),"",'Indetail CAL'!K3)</f>
        <v>7480</v>
      </c>
    </row>
    <row r="12" spans="1:10" x14ac:dyDescent="0.35">
      <c r="A12" s="41">
        <v>2</v>
      </c>
      <c r="B12" s="42" t="str">
        <f>IF(ISBLANK('Order Form'!$B12),"",'Order Form'!$B12)</f>
        <v xml:space="preserve">B2    </v>
      </c>
      <c r="C12" s="42">
        <f>IF(ISBLANK('Order Form'!$C12),"",'Order Form'!$C12)</f>
        <v>3194</v>
      </c>
      <c r="D12" s="43">
        <f>IF(ISBLANK('Order Form'!$E12),"",'Order Form'!$E12)</f>
        <v>2300</v>
      </c>
      <c r="E12" s="44" t="str">
        <f>IF(ISBLANK('Order Form'!M12),"",'Order Form'!M12)</f>
        <v>Centre Open</v>
      </c>
      <c r="F12" s="42" t="str">
        <f>IF(ISBLANK('Indetail CAL'!$G4),"",'Indetail CAL'!$G4)</f>
        <v/>
      </c>
      <c r="G12" s="42">
        <f>IF(ISBLANK('Indetail CAL'!$H4),"",'Indetail CAL'!$H4)</f>
        <v>30</v>
      </c>
      <c r="H12" s="45">
        <f>IF('Indetail CAL'!$I4=0,"",('Indetail CAL'!$I4))</f>
        <v>30</v>
      </c>
      <c r="I12" s="45" t="str">
        <f>IF(ISBLANK('Order Form'!$O12),"",'Order Form'!$O12)</f>
        <v>140 Fullness</v>
      </c>
      <c r="J12" s="42">
        <f>IF(ISBLANK('Indetail CAL'!K4),"",'Indetail CAL'!K4)</f>
        <v>7480</v>
      </c>
    </row>
    <row r="13" spans="1:10" x14ac:dyDescent="0.35">
      <c r="A13" s="41">
        <v>3</v>
      </c>
      <c r="B13" s="42" t="str">
        <f>IF(ISBLANK('Order Form'!$B13),"",'Order Form'!$B13)</f>
        <v xml:space="preserve">B3    </v>
      </c>
      <c r="C13" s="42">
        <f>IF(ISBLANK('Order Form'!$C13),"",'Order Form'!$C13)</f>
        <v>2692</v>
      </c>
      <c r="D13" s="43">
        <f>IF(ISBLANK('Order Form'!$E13),"",'Order Form'!$E13)</f>
        <v>2300</v>
      </c>
      <c r="E13" s="44" t="str">
        <f>IF(ISBLANK('Order Form'!M13),"",'Order Form'!M13)</f>
        <v>Centre Open</v>
      </c>
      <c r="F13" s="42" t="str">
        <f>IF(ISBLANK('Indetail CAL'!$G5),"",'Indetail CAL'!$G5)</f>
        <v/>
      </c>
      <c r="G13" s="42">
        <f>IF(ISBLANK('Indetail CAL'!$H5),"",'Indetail CAL'!$H5)</f>
        <v>26</v>
      </c>
      <c r="H13" s="45">
        <f>IF('Indetail CAL'!$I5=0,"",('Indetail CAL'!$I5))</f>
        <v>26</v>
      </c>
      <c r="I13" s="45" t="str">
        <f>IF(ISBLANK('Order Form'!$O13),"",'Order Form'!$O13)</f>
        <v>144 Fullness</v>
      </c>
      <c r="J13" s="42">
        <f>IF(ISBLANK('Indetail CAL'!K5),"",'Indetail CAL'!K5)</f>
        <v>6520</v>
      </c>
    </row>
    <row r="14" spans="1:10" x14ac:dyDescent="0.35">
      <c r="A14" s="41">
        <v>4</v>
      </c>
      <c r="B14" s="42" t="str">
        <f>IF(ISBLANK('Order Form'!$B14),"",'Order Form'!$B14)</f>
        <v>Master</v>
      </c>
      <c r="C14" s="42">
        <f>IF(ISBLANK('Order Form'!$C14),"",'Order Form'!$C14)</f>
        <v>3165</v>
      </c>
      <c r="D14" s="43">
        <f>IF(ISBLANK('Order Form'!$E14),"",'Order Form'!$E14)</f>
        <v>2301</v>
      </c>
      <c r="E14" s="44" t="str">
        <f>IF(ISBLANK('Order Form'!M14),"",'Order Form'!M14)</f>
        <v>Centre Open</v>
      </c>
      <c r="F14" s="42" t="str">
        <f>IF(ISBLANK('Indetail CAL'!$G6),"",'Indetail CAL'!$G6)</f>
        <v/>
      </c>
      <c r="G14" s="42">
        <f>IF(ISBLANK('Indetail CAL'!$H6),"",'Indetail CAL'!$H6)</f>
        <v>30</v>
      </c>
      <c r="H14" s="45">
        <f>IF('Indetail CAL'!$I6=0,"",('Indetail CAL'!$I6))</f>
        <v>30</v>
      </c>
      <c r="I14" s="45" t="str">
        <f>IF(ISBLANK('Order Form'!$O14),"",'Order Form'!$O14)</f>
        <v>120 Fullness</v>
      </c>
      <c r="J14" s="42">
        <f>IF(ISBLANK('Indetail CAL'!K6),"",'Indetail CAL'!K6)</f>
        <v>7480</v>
      </c>
    </row>
    <row r="15" spans="1:10" x14ac:dyDescent="0.35">
      <c r="A15" s="41">
        <v>5</v>
      </c>
      <c r="B15" s="42" t="str">
        <f>IF(ISBLANK('Order Form'!$B15),"",'Order Form'!$B15)</f>
        <v xml:space="preserve">L1    </v>
      </c>
      <c r="C15" s="42">
        <f>IF(ISBLANK('Order Form'!$C15),"",'Order Form'!$C15)</f>
        <v>5428</v>
      </c>
      <c r="D15" s="43">
        <f>IF(ISBLANK('Order Form'!$E15),"",'Order Form'!$E15)</f>
        <v>2299</v>
      </c>
      <c r="E15" s="44" t="str">
        <f>IF(ISBLANK('Order Form'!M15),"",'Order Form'!M15)</f>
        <v>Single Open</v>
      </c>
      <c r="F15" s="42">
        <f>IF(ISBLANK('Indetail CAL'!$G7),"",'Indetail CAL'!$G7)</f>
        <v>102</v>
      </c>
      <c r="G15" s="42" t="str">
        <f>IF(ISBLANK('Indetail CAL'!$H7),"",'Indetail CAL'!$H7)</f>
        <v/>
      </c>
      <c r="H15" s="45" t="str">
        <f>IF('Indetail CAL'!$I7=0,"",('Indetail CAL'!$I7))</f>
        <v/>
      </c>
      <c r="I15" s="45" t="str">
        <f>IF(ISBLANK('Order Form'!$O15),"",'Order Form'!$O15)</f>
        <v>140 Fullness</v>
      </c>
      <c r="J15" s="42">
        <f>IF(ISBLANK('Indetail CAL'!K7),"",'Indetail CAL'!K7)</f>
        <v>12380</v>
      </c>
    </row>
    <row r="16" spans="1:10" x14ac:dyDescent="0.35">
      <c r="A16" s="41">
        <v>6</v>
      </c>
      <c r="B16" s="42" t="str">
        <f>IF(ISBLANK('Order Form'!$B16),"",'Order Form'!$B16)</f>
        <v xml:space="preserve">Tv L  </v>
      </c>
      <c r="C16" s="42">
        <f>IF(ISBLANK('Order Form'!$C16),"",'Order Form'!$C16)</f>
        <v>3180</v>
      </c>
      <c r="D16" s="43">
        <f>IF(ISBLANK('Order Form'!$E16),"",'Order Form'!$E16)</f>
        <v>2350</v>
      </c>
      <c r="E16" s="44" t="str">
        <f>IF(ISBLANK('Order Form'!M16),"",'Order Form'!M16)</f>
        <v>Single Open</v>
      </c>
      <c r="F16" s="42">
        <f>IF(ISBLANK('Indetail CAL'!$G8),"",'Indetail CAL'!$G8)</f>
        <v>60</v>
      </c>
      <c r="G16" s="42" t="str">
        <f>IF(ISBLANK('Indetail CAL'!$H8),"",'Indetail CAL'!$H8)</f>
        <v/>
      </c>
      <c r="H16" s="45" t="str">
        <f>IF('Indetail CAL'!$I8=0,"",('Indetail CAL'!$I8))</f>
        <v/>
      </c>
      <c r="I16" s="45" t="str">
        <f>IF(ISBLANK('Order Form'!$O16),"",'Order Form'!$O16)</f>
        <v>144 Fullness</v>
      </c>
      <c r="J16" s="42">
        <f>IF(ISBLANK('Indetail CAL'!K8),"",'Indetail CAL'!K8)</f>
        <v>7340</v>
      </c>
    </row>
    <row r="17" spans="1:10" x14ac:dyDescent="0.35">
      <c r="A17" s="41">
        <v>7</v>
      </c>
      <c r="B17" s="42" t="str">
        <f>IF(ISBLANK('Order Form'!$B17),"",'Order Form'!$B17)</f>
        <v xml:space="preserve">Tv R  </v>
      </c>
      <c r="C17" s="42">
        <f>IF(ISBLANK('Order Form'!$C17),"",'Order Form'!$C17)</f>
        <v>3377</v>
      </c>
      <c r="D17" s="43">
        <f>IF(ISBLANK('Order Form'!$E17),"",'Order Form'!$E17)</f>
        <v>2350</v>
      </c>
      <c r="E17" s="44" t="str">
        <f>IF(ISBLANK('Order Form'!M17),"",'Order Form'!M17)</f>
        <v>Single Open</v>
      </c>
      <c r="F17" s="42">
        <f>IF(ISBLANK('Indetail CAL'!$G9),"",'Indetail CAL'!$G9)</f>
        <v>64</v>
      </c>
      <c r="G17" s="42" t="str">
        <f>IF(ISBLANK('Indetail CAL'!$H9),"",'Indetail CAL'!$H9)</f>
        <v/>
      </c>
      <c r="H17" s="45" t="str">
        <f>IF('Indetail CAL'!$I9=0,"",('Indetail CAL'!$I9))</f>
        <v/>
      </c>
      <c r="I17" s="45" t="str">
        <f>IF(ISBLANK('Order Form'!$O17),"",'Order Form'!$O17)</f>
        <v>120 Fullness</v>
      </c>
      <c r="J17" s="42">
        <f>IF(ISBLANK('Indetail CAL'!K9),"",'Indetail CAL'!K9)</f>
        <v>7820</v>
      </c>
    </row>
    <row r="18" spans="1:10" x14ac:dyDescent="0.35">
      <c r="A18" s="41">
        <v>8</v>
      </c>
      <c r="B18" s="42" t="str">
        <f>IF(ISBLANK('Order Form'!$B18),"",'Order Form'!$B18)</f>
        <v/>
      </c>
      <c r="C18" s="42" t="str">
        <f>IF(ISBLANK('Order Form'!$C18),"",'Order Form'!$C18)</f>
        <v/>
      </c>
      <c r="D18" s="43" t="str">
        <f>IF(ISBLANK('Order Form'!$E18),"",'Order Form'!$E18)</f>
        <v/>
      </c>
      <c r="E18" s="44" t="str">
        <f>IF(ISBLANK('Order Form'!M18),"",'Order Form'!M18)</f>
        <v/>
      </c>
      <c r="F18" s="42" t="str">
        <f>IF(ISBLANK('Indetail CAL'!$G10),"",'Indetail CAL'!$G10)</f>
        <v/>
      </c>
      <c r="G18" s="42" t="str">
        <f>IF(ISBLANK('Indetail CAL'!$H10),"",'Indetail CAL'!$H10)</f>
        <v/>
      </c>
      <c r="H18" s="45" t="str">
        <f>IF('Indetail CAL'!$I10=0,"",('Indetail CAL'!$I10))</f>
        <v/>
      </c>
      <c r="I18" s="45" t="str">
        <f>IF(ISBLANK('Order Form'!$O18),"",'Order Form'!$O18)</f>
        <v/>
      </c>
      <c r="J18" s="42" t="str">
        <f>IF(ISBLANK('Indetail CAL'!K10),"",'Indetail CAL'!K10)</f>
        <v/>
      </c>
    </row>
    <row r="19" spans="1:10" x14ac:dyDescent="0.35">
      <c r="A19" s="41">
        <v>9</v>
      </c>
      <c r="B19" s="42" t="str">
        <f>IF(ISBLANK('Order Form'!$B19),"",'Order Form'!$B19)</f>
        <v/>
      </c>
      <c r="C19" s="42" t="str">
        <f>IF(ISBLANK('Order Form'!$C19),"",'Order Form'!$C19)</f>
        <v/>
      </c>
      <c r="D19" s="43" t="str">
        <f>IF(ISBLANK('Order Form'!$E19),"",'Order Form'!$E19)</f>
        <v/>
      </c>
      <c r="E19" s="44" t="str">
        <f>IF(ISBLANK('Order Form'!M19),"",'Order Form'!M19)</f>
        <v/>
      </c>
      <c r="F19" s="42" t="str">
        <f>IF(ISBLANK('Indetail CAL'!$G11),"",'Indetail CAL'!$G11)</f>
        <v/>
      </c>
      <c r="G19" s="42" t="str">
        <f>IF(ISBLANK('Indetail CAL'!$H11),"",'Indetail CAL'!$H11)</f>
        <v/>
      </c>
      <c r="H19" s="45" t="str">
        <f>IF('Indetail CAL'!$I11=0,"",('Indetail CAL'!$I11))</f>
        <v/>
      </c>
      <c r="I19" s="45" t="str">
        <f>IF(ISBLANK('Order Form'!$O19),"",'Order Form'!$O19)</f>
        <v/>
      </c>
      <c r="J19" s="42" t="str">
        <f>IF(ISBLANK('Indetail CAL'!K11),"",'Indetail CAL'!K11)</f>
        <v/>
      </c>
    </row>
    <row r="20" spans="1:10" x14ac:dyDescent="0.35">
      <c r="A20" s="41">
        <v>10</v>
      </c>
      <c r="B20" s="42" t="str">
        <f>IF(ISBLANK('Order Form'!$B20),"",'Order Form'!$B20)</f>
        <v/>
      </c>
      <c r="C20" s="42" t="str">
        <f>IF(ISBLANK('Order Form'!$C20),"",'Order Form'!$C20)</f>
        <v/>
      </c>
      <c r="D20" s="43" t="str">
        <f>IF(ISBLANK('Order Form'!$E20),"",'Order Form'!$E20)</f>
        <v/>
      </c>
      <c r="E20" s="44" t="str">
        <f>IF(ISBLANK('Order Form'!M20),"",'Order Form'!M20)</f>
        <v/>
      </c>
      <c r="F20" s="42" t="str">
        <f>IF(ISBLANK('Indetail CAL'!$G12),"",'Indetail CAL'!$G12)</f>
        <v/>
      </c>
      <c r="G20" s="42" t="str">
        <f>IF(ISBLANK('Indetail CAL'!$H12),"",'Indetail CAL'!$H12)</f>
        <v/>
      </c>
      <c r="H20" s="45" t="str">
        <f>IF('Indetail CAL'!$I12=0,"",('Indetail CAL'!$I12))</f>
        <v/>
      </c>
      <c r="I20" s="45" t="str">
        <f>IF(ISBLANK('Order Form'!$O20),"",'Order Form'!$O20)</f>
        <v/>
      </c>
      <c r="J20" s="42" t="str">
        <f>IF(ISBLANK('Indetail CAL'!K12),"",'Indetail CAL'!K12)</f>
        <v/>
      </c>
    </row>
    <row r="21" spans="1:10" x14ac:dyDescent="0.35">
      <c r="A21" s="41">
        <v>11</v>
      </c>
      <c r="B21" s="42" t="str">
        <f>IF(ISBLANK('Order Form'!$B21),"",'Order Form'!$B21)</f>
        <v/>
      </c>
      <c r="C21" s="42" t="str">
        <f>IF(ISBLANK('Order Form'!$C21),"",'Order Form'!$C21)</f>
        <v/>
      </c>
      <c r="D21" s="43" t="str">
        <f>IF(ISBLANK('Order Form'!$E21),"",'Order Form'!$E21)</f>
        <v/>
      </c>
      <c r="E21" s="44" t="str">
        <f>IF(ISBLANK('Order Form'!M21),"",'Order Form'!M21)</f>
        <v/>
      </c>
      <c r="F21" s="42" t="str">
        <f>IF(ISBLANK('Indetail CAL'!$G13),"",'Indetail CAL'!$G13)</f>
        <v/>
      </c>
      <c r="G21" s="42" t="str">
        <f>IF(ISBLANK('Indetail CAL'!$H13),"",'Indetail CAL'!$H13)</f>
        <v/>
      </c>
      <c r="H21" s="45" t="str">
        <f>IF('Indetail CAL'!$I13=0,"",('Indetail CAL'!$I13))</f>
        <v/>
      </c>
      <c r="I21" s="45" t="str">
        <f>IF(ISBLANK('Order Form'!$O21),"",'Order Form'!$O21)</f>
        <v/>
      </c>
      <c r="J21" s="42" t="str">
        <f>IF(ISBLANK('Indetail CAL'!K13),"",'Indetail CAL'!K13)</f>
        <v/>
      </c>
    </row>
    <row r="22" spans="1:10" x14ac:dyDescent="0.35">
      <c r="A22" s="41">
        <v>12</v>
      </c>
      <c r="B22" s="42" t="str">
        <f>IF(ISBLANK('Order Form'!$B22),"",'Order Form'!$B22)</f>
        <v/>
      </c>
      <c r="C22" s="42" t="str">
        <f>IF(ISBLANK('Order Form'!$C22),"",'Order Form'!$C22)</f>
        <v/>
      </c>
      <c r="D22" s="43" t="str">
        <f>IF(ISBLANK('Order Form'!$E22),"",'Order Form'!$E22)</f>
        <v/>
      </c>
      <c r="E22" s="44" t="str">
        <f>IF(ISBLANK('Order Form'!M22),"",'Order Form'!M22)</f>
        <v/>
      </c>
      <c r="F22" s="42" t="str">
        <f>IF(ISBLANK('Indetail CAL'!$G14),"",'Indetail CAL'!$G14)</f>
        <v/>
      </c>
      <c r="G22" s="42" t="str">
        <f>IF(ISBLANK('Indetail CAL'!$H14),"",'Indetail CAL'!$H14)</f>
        <v/>
      </c>
      <c r="H22" s="45" t="str">
        <f>IF('Indetail CAL'!$I14=0,"",('Indetail CAL'!$I14))</f>
        <v/>
      </c>
      <c r="I22" s="45" t="str">
        <f>IF(ISBLANK('Order Form'!$O22),"",'Order Form'!$O22)</f>
        <v/>
      </c>
      <c r="J22" s="42" t="str">
        <f>IF(ISBLANK('Indetail CAL'!K14),"",'Indetail CAL'!K14)</f>
        <v/>
      </c>
    </row>
    <row r="23" spans="1:10" x14ac:dyDescent="0.35">
      <c r="A23" s="41">
        <v>13</v>
      </c>
      <c r="B23" s="42" t="str">
        <f>IF(ISBLANK('Order Form'!$B23),"",'Order Form'!$B23)</f>
        <v/>
      </c>
      <c r="C23" s="42" t="str">
        <f>IF(ISBLANK('Order Form'!$C23),"",'Order Form'!$C23)</f>
        <v/>
      </c>
      <c r="D23" s="43" t="str">
        <f>IF(ISBLANK('Order Form'!$E23),"",'Order Form'!$E23)</f>
        <v/>
      </c>
      <c r="E23" s="44" t="str">
        <f>IF(ISBLANK('Order Form'!M23),"",'Order Form'!M23)</f>
        <v/>
      </c>
      <c r="F23" s="42" t="str">
        <f>IF(ISBLANK('Indetail CAL'!$G15),"",'Indetail CAL'!$G15)</f>
        <v/>
      </c>
      <c r="G23" s="42" t="str">
        <f>IF(ISBLANK('Indetail CAL'!$H15),"",'Indetail CAL'!$H15)</f>
        <v/>
      </c>
      <c r="H23" s="45" t="str">
        <f>IF('Indetail CAL'!$I15=0,"",('Indetail CAL'!$I15))</f>
        <v/>
      </c>
      <c r="I23" s="45" t="str">
        <f>IF(ISBLANK('Order Form'!$O23),"",'Order Form'!$O23)</f>
        <v/>
      </c>
      <c r="J23" s="42" t="str">
        <f>IF(ISBLANK('Indetail CAL'!K15),"",'Indetail CAL'!K15)</f>
        <v/>
      </c>
    </row>
    <row r="24" spans="1:10" x14ac:dyDescent="0.35">
      <c r="A24" s="41">
        <v>14</v>
      </c>
      <c r="B24" s="42" t="str">
        <f>IF(ISBLANK('Order Form'!$B24),"",'Order Form'!$B24)</f>
        <v/>
      </c>
      <c r="C24" s="42" t="str">
        <f>IF(ISBLANK('Order Form'!$C24),"",'Order Form'!$C24)</f>
        <v/>
      </c>
      <c r="D24" s="43" t="str">
        <f>IF(ISBLANK('Order Form'!$E24),"",'Order Form'!$E24)</f>
        <v/>
      </c>
      <c r="E24" s="44" t="str">
        <f>IF(ISBLANK('Order Form'!M24),"",'Order Form'!M24)</f>
        <v/>
      </c>
      <c r="F24" s="42" t="str">
        <f>IF(ISBLANK('Indetail CAL'!$G16),"",'Indetail CAL'!$G16)</f>
        <v/>
      </c>
      <c r="G24" s="42" t="str">
        <f>IF(ISBLANK('Indetail CAL'!$H16),"",'Indetail CAL'!$H16)</f>
        <v/>
      </c>
      <c r="H24" s="45" t="str">
        <f>IF('Indetail CAL'!$I16=0,"",('Indetail CAL'!$I16))</f>
        <v/>
      </c>
      <c r="I24" s="45" t="str">
        <f>IF(ISBLANK('Order Form'!$O24),"",'Order Form'!$O24)</f>
        <v/>
      </c>
      <c r="J24" s="42" t="str">
        <f>IF(ISBLANK('Indetail CAL'!K16),"",'Indetail CAL'!K16)</f>
        <v/>
      </c>
    </row>
    <row r="25" spans="1:10" x14ac:dyDescent="0.35">
      <c r="A25" s="41">
        <v>15</v>
      </c>
      <c r="B25" s="42" t="str">
        <f>IF(ISBLANK('Order Form'!$B25),"",'Order Form'!$B25)</f>
        <v/>
      </c>
      <c r="C25" s="42" t="str">
        <f>IF(ISBLANK('Order Form'!$C25),"",'Order Form'!$C25)</f>
        <v/>
      </c>
      <c r="D25" s="43" t="str">
        <f>IF(ISBLANK('Order Form'!$E25),"",'Order Form'!$E25)</f>
        <v/>
      </c>
      <c r="E25" s="44" t="str">
        <f>IF(ISBLANK('Order Form'!M25),"",'Order Form'!M25)</f>
        <v/>
      </c>
      <c r="F25" s="42" t="str">
        <f>IF(ISBLANK('Indetail CAL'!$G17),"",'Indetail CAL'!$G17)</f>
        <v/>
      </c>
      <c r="G25" s="42" t="str">
        <f>IF(ISBLANK('Indetail CAL'!$H17),"",'Indetail CAL'!$H17)</f>
        <v/>
      </c>
      <c r="H25" s="45" t="str">
        <f>IF('Indetail CAL'!$I17=0,"",('Indetail CAL'!$I17))</f>
        <v/>
      </c>
      <c r="I25" s="45" t="str">
        <f>IF(ISBLANK('Order Form'!$O25),"",'Order Form'!$O25)</f>
        <v/>
      </c>
      <c r="J25" s="42" t="str">
        <f>IF(ISBLANK('Indetail CAL'!K17),"",'Indetail CAL'!K17)</f>
        <v/>
      </c>
    </row>
    <row r="26" spans="1:10" x14ac:dyDescent="0.35">
      <c r="A26" s="41">
        <v>16</v>
      </c>
      <c r="B26" s="42" t="str">
        <f>IF(ISBLANK('Order Form'!$B26),"",'Order Form'!$B26)</f>
        <v/>
      </c>
      <c r="C26" s="42" t="str">
        <f>IF(ISBLANK('Order Form'!$C26),"",'Order Form'!$C26)</f>
        <v/>
      </c>
      <c r="D26" s="43" t="str">
        <f>IF(ISBLANK('Order Form'!$E26),"",'Order Form'!$E26)</f>
        <v/>
      </c>
      <c r="E26" s="44" t="str">
        <f>IF(ISBLANK('Order Form'!M26),"",'Order Form'!M26)</f>
        <v/>
      </c>
      <c r="F26" s="42" t="str">
        <f>IF(ISBLANK('Indetail CAL'!$G18),"",'Indetail CAL'!$G18)</f>
        <v/>
      </c>
      <c r="G26" s="42" t="str">
        <f>IF(ISBLANK('Indetail CAL'!$H18),"",'Indetail CAL'!$H18)</f>
        <v/>
      </c>
      <c r="H26" s="45" t="str">
        <f>IF('Indetail CAL'!$I18=0,"",('Indetail CAL'!$I18))</f>
        <v/>
      </c>
      <c r="I26" s="45" t="str">
        <f>IF(ISBLANK('Order Form'!$O26),"",'Order Form'!$O26)</f>
        <v/>
      </c>
      <c r="J26" s="42" t="str">
        <f>IF(ISBLANK('Indetail CAL'!K18),"",'Indetail CAL'!K18)</f>
        <v/>
      </c>
    </row>
    <row r="27" spans="1:10" x14ac:dyDescent="0.35">
      <c r="A27" s="41">
        <v>17</v>
      </c>
      <c r="B27" s="42" t="str">
        <f>IF(ISBLANK('Order Form'!$B27),"",'Order Form'!$B27)</f>
        <v/>
      </c>
      <c r="C27" s="42" t="str">
        <f>IF(ISBLANK('Order Form'!$C27),"",'Order Form'!$C27)</f>
        <v/>
      </c>
      <c r="D27" s="43" t="str">
        <f>IF(ISBLANK('Order Form'!$E27),"",'Order Form'!$E27)</f>
        <v/>
      </c>
      <c r="E27" s="44" t="str">
        <f>IF(ISBLANK('Order Form'!M27),"",'Order Form'!M27)</f>
        <v/>
      </c>
      <c r="F27" s="42" t="str">
        <f>IF(ISBLANK('Indetail CAL'!$G35),"",'Indetail CAL'!$G35)</f>
        <v/>
      </c>
      <c r="G27" s="42" t="str">
        <f>IF(ISBLANK('Indetail CAL'!$H35),"",'Indetail CAL'!$H35)</f>
        <v/>
      </c>
      <c r="H27" s="45" t="str">
        <f>IF('Indetail CAL'!$I35=0,"",('Indetail CAL'!$I35))</f>
        <v/>
      </c>
      <c r="I27" s="45" t="str">
        <f>IF(ISBLANK('Order Form'!$O27),"",'Order Form'!$O27)</f>
        <v/>
      </c>
      <c r="J27" s="42" t="str">
        <f>IF(ISBLANK('Indetail CAL'!K35),"",'Indetail CAL'!K35)</f>
        <v/>
      </c>
    </row>
    <row r="28" spans="1:10" x14ac:dyDescent="0.35">
      <c r="A28" s="41">
        <v>18</v>
      </c>
      <c r="B28" s="42" t="str">
        <f>IF(ISBLANK('Order Form'!$B28),"",'Order Form'!$B28)</f>
        <v/>
      </c>
      <c r="C28" s="42" t="str">
        <f>IF(ISBLANK('Order Form'!$C28),"",'Order Form'!$C28)</f>
        <v/>
      </c>
      <c r="D28" s="43" t="str">
        <f>IF(ISBLANK('Order Form'!$E28),"",'Order Form'!$E28)</f>
        <v/>
      </c>
      <c r="E28" s="44" t="str">
        <f>IF(ISBLANK('Order Form'!M28),"",'Order Form'!M28)</f>
        <v/>
      </c>
      <c r="F28" s="42" t="str">
        <f>IF(ISBLANK('Indetail CAL'!$G36),"",'Indetail CAL'!$G36)</f>
        <v/>
      </c>
      <c r="G28" s="42" t="str">
        <f>IF(ISBLANK('Indetail CAL'!$H36),"",'Indetail CAL'!$H36)</f>
        <v/>
      </c>
      <c r="H28" s="45" t="str">
        <f>IF('Indetail CAL'!$I36=0,"",('Indetail CAL'!$I36))</f>
        <v/>
      </c>
      <c r="I28" s="45" t="str">
        <f>IF(ISBLANK('Order Form'!$O28),"",'Order Form'!$O28)</f>
        <v/>
      </c>
      <c r="J28" s="42" t="str">
        <f>IF(ISBLANK('Indetail CAL'!K36),"",'Indetail CAL'!K36)</f>
        <v/>
      </c>
    </row>
    <row r="29" spans="1:10" x14ac:dyDescent="0.35">
      <c r="A29" s="41">
        <v>19</v>
      </c>
      <c r="B29" s="42" t="str">
        <f>IF(ISBLANK('Order Form'!$B29),"",'Order Form'!$B29)</f>
        <v/>
      </c>
      <c r="C29" s="42" t="str">
        <f>IF(ISBLANK('Order Form'!$C29),"",'Order Form'!$C29)</f>
        <v/>
      </c>
      <c r="D29" s="43" t="str">
        <f>IF(ISBLANK('Order Form'!$E29),"",'Order Form'!$E29)</f>
        <v/>
      </c>
      <c r="E29" s="44" t="str">
        <f>IF(ISBLANK('Order Form'!M29),"",'Order Form'!M29)</f>
        <v/>
      </c>
      <c r="F29" s="42" t="str">
        <f>IF(ISBLANK('Indetail CAL'!$G37),"",'Indetail CAL'!$G37)</f>
        <v/>
      </c>
      <c r="G29" s="42" t="str">
        <f>IF(ISBLANK('Indetail CAL'!$H37),"",'Indetail CAL'!$H37)</f>
        <v/>
      </c>
      <c r="H29" s="45" t="str">
        <f>IF('Indetail CAL'!$I37=0,"",('Indetail CAL'!$I37))</f>
        <v/>
      </c>
      <c r="I29" s="45" t="str">
        <f>IF(ISBLANK('Order Form'!$O29),"",'Order Form'!$O29)</f>
        <v/>
      </c>
      <c r="J29" s="42" t="str">
        <f>IF(ISBLANK('Indetail CAL'!K37),"",'Indetail CAL'!K37)</f>
        <v/>
      </c>
    </row>
    <row r="30" spans="1:10" x14ac:dyDescent="0.35">
      <c r="A30" s="46">
        <v>20</v>
      </c>
      <c r="B30" s="47" t="str">
        <f>IF(ISBLANK('Order Form'!$B30),"",'Order Form'!$B30)</f>
        <v/>
      </c>
      <c r="C30" s="47" t="str">
        <f>IF(ISBLANK('Order Form'!$C30),"",'Order Form'!$C30)</f>
        <v/>
      </c>
      <c r="D30" s="43" t="str">
        <f>IF(ISBLANK('Order Form'!$E30),"",'Order Form'!$E30)</f>
        <v/>
      </c>
      <c r="E30" s="48" t="str">
        <f>IF(ISBLANK('Order Form'!M30),"",'Order Form'!M30)</f>
        <v/>
      </c>
      <c r="F30" s="42" t="str">
        <f>IF(ISBLANK('Indetail CAL'!$G38),"",'Indetail CAL'!$G38)</f>
        <v/>
      </c>
      <c r="G30" s="42" t="str">
        <f>IF(ISBLANK('Indetail CAL'!$H38),"",'Indetail CAL'!$H38)</f>
        <v/>
      </c>
      <c r="H30" s="45" t="str">
        <f>IF('Indetail CAL'!$I38=0,"",('Indetail CAL'!$I38))</f>
        <v/>
      </c>
      <c r="I30" s="45" t="str">
        <f>IF(ISBLANK('Order Form'!$O30),"",'Order Form'!$O30)</f>
        <v/>
      </c>
      <c r="J30" s="42" t="str">
        <f>IF(ISBLANK('Indetail CAL'!K38),"",'Indetail CAL'!K38)</f>
        <v/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C4:D4"/>
    <mergeCell ref="C5:D5"/>
    <mergeCell ref="F3:G3"/>
    <mergeCell ref="F1:G1"/>
    <mergeCell ref="F2:G2"/>
    <mergeCell ref="F4:G4"/>
    <mergeCell ref="F8:G8"/>
    <mergeCell ref="F5:G5"/>
    <mergeCell ref="F6:F7"/>
  </mergeCells>
  <pageMargins left="0.7" right="0.7" top="0.75" bottom="0.75" header="0.3" footer="0.3"/>
  <pageSetup paperSize="9" scale="5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 Form</vt:lpstr>
      <vt:lpstr>Indetail CAL</vt:lpstr>
      <vt:lpstr>VLOOK Hooks</vt:lpstr>
      <vt:lpstr>Track WORKSHEET</vt:lpstr>
      <vt:lpstr>'Track WORKSHEET'!Print_Area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Malaweera M.A.V.D it20195984</dc:creator>
  <cp:lastModifiedBy>vidath dulanjith</cp:lastModifiedBy>
  <cp:lastPrinted>2024-03-04T13:17:36Z</cp:lastPrinted>
  <dcterms:created xsi:type="dcterms:W3CDTF">2024-01-06T11:36:40Z</dcterms:created>
  <dcterms:modified xsi:type="dcterms:W3CDTF">2026-04-25T17:18:04Z</dcterms:modified>
</cp:coreProperties>
</file>